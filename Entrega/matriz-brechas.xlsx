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c4b7fb97e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ae8efdeaf5324c8a"/>
    <x:sheet xmlns:r="http://schemas.openxmlformats.org/officeDocument/2006/relationships" name="Matriz de brechas" sheetId="2" r:id="R897ac3484e7e407d"/>
    <x:sheet xmlns:r="http://schemas.openxmlformats.org/officeDocument/2006/relationships" name="Decisión Directorio" sheetId="3" r:id="R0ef8b87721924bb8"/>
    <x:sheet xmlns:r="http://schemas.openxmlformats.org/officeDocument/2006/relationships" name="Decisión Conciliación" sheetId="4" r:id="R133d0a1843e249a8"/>
    <x:sheet xmlns:r="http://schemas.openxmlformats.org/officeDocument/2006/relationships" name="Decisión Aprovisionamiento" sheetId="5" r:id="Rd779a7ceffe04064"/>
    <x:sheet xmlns:r="http://schemas.openxmlformats.org/officeDocument/2006/relationships" name="Capacidades" sheetId="6" r:id="R9bcef26a1717463e"/>
    <x:sheet xmlns:r="http://schemas.openxmlformats.org/officeDocument/2006/relationships" name="Fuentes" sheetId="7" r:id="R69c8d3dd2ccc49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%"/>
  </x:numFmts>
  <x:fonts count="14">
    <x:font>
      <x:sz val="11"/>
      <x:name val="Carlito"/>
    </x:font>
    <x:font>
      <x:sz val="10"/>
      <x:color rgb="FF123047"/>
      <x:name val="Aptos"/>
    </x:font>
    <x:font>
      <x:b/>
      <x:sz val="20"/>
      <x:color rgb="FFFFFFFF"/>
      <x:name val="Aptos"/>
    </x:font>
    <x:font>
      <x:i/>
      <x:sz val="10"/>
      <x:color rgb="FF123047"/>
      <x:name val="Aptos"/>
    </x:font>
    <x:font>
      <x:b/>
      <x:sz val="10"/>
      <x:color rgb="FF123047"/>
      <x:name val="Aptos"/>
    </x:font>
    <x:font>
      <x:b/>
      <x:sz val="18"/>
      <x:color rgb="FF288A55"/>
      <x:name val="Aptos"/>
    </x:font>
    <x:font>
      <x:b/>
      <x:sz val="10"/>
      <x:color rgb="FFFFFFFF"/>
      <x:name val="Aptos"/>
    </x:font>
    <x:font>
      <x:sz val="9"/>
      <x:color rgb="FF123047"/>
      <x:name val="Aptos"/>
    </x:font>
    <x:font>
      <x:b/>
      <x:sz val="9"/>
      <x:color rgb="FF288A55"/>
      <x:name val="Aptos"/>
    </x:font>
    <x:font>
      <x:b/>
      <x:sz val="12"/>
      <x:color rgb="FFFFFFFF"/>
      <x:name val="Aptos"/>
    </x:font>
    <x:font>
      <x:b/>
      <x:sz val="14"/>
      <x:color rgb="FF288A55"/>
      <x:name val="Aptos"/>
    </x:font>
    <x:font>
      <x:sz val="11"/>
      <x:color rgb="FF123047"/>
      <x:name val="Aptos"/>
    </x:font>
    <x:font>
      <x:b/>
      <x:sz val="9"/>
      <x:color rgb="FF123047"/>
      <x:name val="Aptos"/>
    </x:font>
    <x:font>
      <x:b/>
      <x:sz val="13"/>
      <x:color rgb="FF288A55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9EAF7"/>
      </x:patternFill>
    </x:fill>
    <x:fill>
      <x:patternFill patternType="solid">
        <x:fgColor rgb="FFDDF4E7"/>
      </x:patternFill>
    </x:fill>
    <x:fill>
      <x:patternFill patternType="solid">
        <x:fgColor rgb="FF0F6B78"/>
      </x:patternFill>
    </x:fill>
    <x:fill>
      <x:patternFill patternType="solid">
        <x:fgColor rgb="FF123047"/>
      </x:patternFill>
    </x:fill>
    <x:fill>
      <x:patternFill patternType="solid">
        <x:fgColor rgb="FFFFF2CC"/>
      </x:patternFill>
    </x:fill>
  </x:fills>
  <x:borders count="17">
    <x:border/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6A84B"/>
      </x:left>
      <x:top style="thin">
        <x:color rgb="FFD6A84B"/>
      </x:top>
    </x:border>
    <x:border>
      <x:top style="thin">
        <x:color rgb="FFD6A84B"/>
      </x:top>
    </x:border>
    <x:border>
      <x:right style="thin">
        <x:color rgb="FFD6A84B"/>
      </x:right>
      <x:top style="thin">
        <x:color rgb="FFD6A84B"/>
      </x:top>
    </x:border>
    <x:border>
      <x:left style="thin">
        <x:color rgb="FFD6A84B"/>
      </x:left>
    </x:border>
    <x:border>
      <x:right style="thin">
        <x:color rgb="FFD6A84B"/>
      </x:right>
    </x:border>
    <x:border>
      <x:left style="thin">
        <x:color rgb="FFD6A84B"/>
      </x:left>
      <x:bottom style="thin">
        <x:color rgb="FFD6A84B"/>
      </x:bottom>
    </x:border>
    <x:border>
      <x:bottom style="thin">
        <x:color rgb="FFD6A84B"/>
      </x:bottom>
    </x:border>
    <x:border>
      <x:right style="thin">
        <x:color rgb="FFD6A84B"/>
      </x:right>
      <x:bottom style="thin">
        <x:color rgb="FFD6A84B"/>
      </x:bottom>
    </x:border>
    <x:border>
      <x:left style="thin">
        <x:color rgb="FFD6A84B"/>
      </x:left>
      <x:right style="thin">
        <x:color rgb="FFD6A84B"/>
      </x:right>
      <x:top style="thin">
        <x:color rgb="FFD6A84B"/>
      </x:top>
      <x:bottom style="thin">
        <x:color rgb="FFD6A84B"/>
      </x:bottom>
    </x:border>
    <x:border>
      <x:left style="thin">
        <x:color rgb="FF288A55"/>
      </x:left>
      <x:top style="thin">
        <x:color rgb="FF288A55"/>
      </x:top>
    </x:border>
    <x:border>
      <x:top style="thin">
        <x:color rgb="FF288A55"/>
      </x:top>
    </x:border>
    <x:border>
      <x:right style="thin">
        <x:color rgb="FF288A55"/>
      </x:right>
      <x:top style="thin">
        <x:color rgb="FF288A55"/>
      </x:top>
    </x:border>
    <x:border>
      <x:left style="thin">
        <x:color rgb="FF288A55"/>
      </x:left>
      <x:bottom style="thin">
        <x:color rgb="FF288A55"/>
      </x:bottom>
    </x:border>
    <x:border>
      <x:bottom style="thin">
        <x:color rgb="FF288A55"/>
      </x:bottom>
    </x:border>
    <x:border>
      <x:right style="thin">
        <x:color rgb="FF288A55"/>
      </x:right>
      <x:bottom style="thin">
        <x:color rgb="FF288A55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10" fillId="4" borderId="1" xfId="0" applyNumberFormat="1" applyFont="1" applyFill="1" applyBorder="1" applyAlignment="1">
      <x:alignment vertical="top" wrapText="1"/>
    </x:xf>
    <x:xf numFmtId="0" fontId="10" fillId="4" borderId="1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vertical="center"/>
    </x:xf>
    <x:xf numFmtId="0" fontId="11" fillId="7" borderId="2" xfId="0" applyNumberFormat="1" applyFont="1" applyFill="1" applyBorder="1" applyAlignment="1">
      <x:alignment vertical="center"/>
    </x:xf>
    <x:xf numFmtId="0" fontId="11" fillId="7" borderId="3" xfId="0" applyNumberFormat="1" applyFont="1" applyFill="1" applyBorder="1" applyAlignment="1">
      <x:alignment vertical="center"/>
    </x:xf>
    <x:xf numFmtId="0" fontId="11" fillId="7" borderId="4" xfId="0" applyNumberFormat="1" applyFont="1" applyFill="1" applyBorder="1" applyAlignment="1">
      <x:alignment vertical="center"/>
    </x:xf>
    <x:xf numFmtId="0" fontId="11" fillId="7" borderId="5" xfId="0" applyNumberFormat="1" applyFont="1" applyFill="1" applyBorder="1" applyAlignment="1">
      <x:alignment vertical="center"/>
    </x:xf>
    <x:xf numFmtId="0" fontId="11" fillId="7" borderId="6" xfId="0" applyNumberFormat="1" applyFont="1" applyFill="1" applyBorder="1" applyAlignment="1">
      <x:alignment vertical="center"/>
    </x:xf>
    <x:xf numFmtId="0" fontId="11" fillId="7" borderId="7" xfId="0" applyNumberFormat="1" applyFont="1" applyFill="1" applyBorder="1" applyAlignment="1">
      <x:alignment vertical="center"/>
    </x:xf>
    <x:xf numFmtId="0" fontId="11" fillId="7" borderId="8" xfId="0" applyNumberFormat="1" applyFont="1" applyFill="1" applyBorder="1" applyAlignment="1">
      <x:alignment vertical="center"/>
    </x:xf>
    <x:xf numFmtId="0" fontId="11" fillId="7" borderId="9" xfId="0" applyNumberFormat="1" applyFont="1" applyFill="1" applyBorder="1" applyAlignment="1">
      <x:alignment vertical="center"/>
    </x:xf>
    <x:xf numFmtId="0" fontId="11" fillId="7" borderId="2" xfId="0" applyNumberFormat="1" applyFont="1" applyFill="1" applyBorder="1" applyAlignment="1">
      <x:alignment vertical="center" wrapText="1"/>
    </x:xf>
    <x:xf numFmtId="0" fontId="11" fillId="7" borderId="3" xfId="0" applyNumberFormat="1" applyFont="1" applyFill="1" applyBorder="1" applyAlignment="1">
      <x:alignment vertical="center" wrapText="1"/>
    </x:xf>
    <x:xf numFmtId="0" fontId="11" fillId="7" borderId="4" xfId="0" applyNumberFormat="1" applyFont="1" applyFill="1" applyBorder="1" applyAlignment="1">
      <x:alignment vertical="center" wrapText="1"/>
    </x:xf>
    <x:xf numFmtId="0" fontId="11" fillId="7" borderId="5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6" xfId="0" applyNumberFormat="1" applyFont="1" applyFill="1" applyBorder="1" applyAlignment="1">
      <x:alignment vertical="center" wrapText="1"/>
    </x:xf>
    <x:xf numFmtId="0" fontId="11" fillId="7" borderId="7" xfId="0" applyNumberFormat="1" applyFont="1" applyFill="1" applyBorder="1" applyAlignment="1">
      <x:alignment vertical="center" wrapText="1"/>
    </x:xf>
    <x:xf numFmtId="0" fontId="11" fillId="7" borderId="8" xfId="0" applyNumberFormat="1" applyFont="1" applyFill="1" applyBorder="1" applyAlignment="1">
      <x:alignment vertical="center" wrapText="1"/>
    </x:xf>
    <x:xf numFmtId="0" fontId="11" fillId="7" borderId="9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top" wrapText="1"/>
    </x:xf>
    <x:xf numFmtId="0" fontId="12" fillId="3" borderId="1" xfId="0" applyNumberFormat="1" applyFont="1" applyFill="1" applyBorder="1" applyAlignment="1">
      <x:alignment vertical="top" wrapText="1"/>
    </x:xf>
    <x:xf numFmtId="0" fontId="12" fillId="3" borderId="1" xfId="0" applyNumberFormat="1" applyFont="1" applyFill="1" applyBorder="1" applyAlignment="1">
      <x:alignment horizontal="center" vertical="top" wrapText="1"/>
    </x:xf>
    <x:xf numFmtId="201" fontId="7" fillId="0" borderId="1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center"/>
    </x:xf>
    <x:xf numFmtId="201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201" fontId="4" fillId="7" borderId="0" xfId="0" applyNumberFormat="1" applyFont="1" applyFill="1" applyBorder="1" applyAlignment="1">
      <x:alignment vertical="center"/>
    </x:xf>
    <x:xf numFmtId="0" fontId="4" fillId="7" borderId="10" xfId="0" applyNumberFormat="1" applyFont="1" applyFill="1" applyBorder="1" applyAlignment="1">
      <x:alignment vertical="center"/>
    </x:xf>
    <x:xf numFmtId="201" fontId="4" fillId="7" borderId="1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horizontal="center" vertical="top" wrapText="1"/>
    </x:xf>
    <x:xf numFmtId="0" fontId="13" fillId="4" borderId="1" xfId="0" applyNumberFormat="1" applyFont="1" applyFill="1" applyBorder="1" applyAlignment="1">
      <x:alignment vertical="top" wrapText="1"/>
    </x:xf>
    <x:xf numFmtId="200" fontId="13" fillId="4" borderId="1" xfId="0" applyNumberFormat="1" applyFont="1" applyFill="1" applyBorder="1" applyAlignment="1">
      <x:alignment vertical="top" wrapText="1"/>
    </x:xf>
    <x:xf numFmtId="200" fontId="13" fillId="4" borderId="1" xfId="0" applyNumberFormat="1" applyFont="1" applyFill="1" applyBorder="1" applyAlignment="1">
      <x:alignment horizontal="center" vertical="top" wrapText="1"/>
    </x:xf>
    <x:xf numFmtId="200" fontId="7" fillId="4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center"/>
    </x:xf>
    <x:xf numFmtId="0" fontId="4" fillId="4" borderId="11" xfId="0" applyNumberFormat="1" applyFont="1" applyFill="1" applyBorder="1" applyAlignment="1">
      <x:alignment vertical="center"/>
    </x:xf>
    <x:xf numFmtId="0" fontId="4" fillId="4" borderId="12" xfId="0" applyNumberFormat="1" applyFont="1" applyFill="1" applyBorder="1" applyAlignment="1">
      <x:alignment vertical="center"/>
    </x:xf>
    <x:xf numFmtId="0" fontId="4" fillId="4" borderId="13" xfId="0" applyNumberFormat="1" applyFont="1" applyFill="1" applyBorder="1" applyAlignment="1">
      <x:alignment vertical="center"/>
    </x:xf>
    <x:xf numFmtId="0" fontId="4" fillId="4" borderId="14" xfId="0" applyNumberFormat="1" applyFont="1" applyFill="1" applyBorder="1" applyAlignment="1">
      <x:alignment vertical="center"/>
    </x:xf>
    <x:xf numFmtId="0" fontId="4" fillId="4" borderId="15" xfId="0" applyNumberFormat="1" applyFont="1" applyFill="1" applyBorder="1" applyAlignment="1">
      <x:alignment vertical="center"/>
    </x:xf>
    <x:xf numFmtId="0" fontId="4" fillId="4" borderId="16" xfId="0" applyNumberFormat="1" applyFont="1" applyFill="1" applyBorder="1" applyAlignment="1">
      <x:alignment vertical="center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4" fillId="4" borderId="13" xfId="0" applyNumberFormat="1" applyFont="1" applyFill="1" applyBorder="1" applyAlignment="1">
      <x:alignment vertical="center" wrapText="1"/>
    </x:xf>
    <x:xf numFmtId="0" fontId="4" fillId="4" borderId="14" xfId="0" applyNumberFormat="1" applyFont="1" applyFill="1" applyBorder="1" applyAlignment="1">
      <x:alignment vertical="center" wrapText="1"/>
    </x:xf>
    <x:xf numFmtId="0" fontId="4" fillId="4" borderId="15" xfId="0" applyNumberFormat="1" applyFont="1" applyFill="1" applyBorder="1" applyAlignment="1">
      <x:alignment vertical="center" wrapText="1"/>
    </x:xf>
    <x:xf numFmtId="0" fontId="4" fillId="4" borderId="16" xfId="0" applyNumberFormat="1" applyFont="1" applyFill="1" applyBorder="1" applyAlignment="1">
      <x:alignment vertical="center" wrapText="1"/>
    </x:xf>
    <x:xf numFmtId="0" fontId="1" fillId="7" borderId="2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7" borderId="4" xfId="0" applyNumberFormat="1" applyFont="1" applyFill="1" applyBorder="1" applyAlignment="1">
      <x:alignment vertical="center"/>
    </x:xf>
    <x:xf numFmtId="0" fontId="1" fillId="7" borderId="7" xfId="0" applyNumberFormat="1" applyFont="1" applyFill="1" applyBorder="1" applyAlignment="1">
      <x:alignment vertical="center"/>
    </x:xf>
    <x:xf numFmtId="0" fontId="1" fillId="7" borderId="8" xfId="0" applyNumberFormat="1" applyFont="1" applyFill="1" applyBorder="1" applyAlignment="1">
      <x:alignment vertical="center"/>
    </x:xf>
    <x:xf numFmtId="0" fontId="1" fillId="7" borderId="9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  <x:xf numFmtId="0" fontId="1" fillId="7" borderId="4" xfId="0" applyNumberFormat="1" applyFont="1" applyFill="1" applyBorder="1" applyAlignment="1">
      <x:alignment vertical="center" wrapText="1"/>
    </x:xf>
    <x:xf numFmtId="0" fontId="1" fillId="7" borderId="7" xfId="0" applyNumberFormat="1" applyFont="1" applyFill="1" applyBorder="1" applyAlignment="1">
      <x:alignment vertical="center" wrapText="1"/>
    </x:xf>
    <x:xf numFmtId="0" fontId="1" fillId="7" borderId="8" xfId="0" applyNumberFormat="1" applyFont="1" applyFill="1" applyBorder="1" applyAlignment="1">
      <x:alignment vertical="center" wrapText="1"/>
    </x:xf>
    <x:xf numFmtId="0" fontId="1" fillId="7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8">
    <x:dxf>
      <x:font>
        <x:b/>
        <x:color rgb="FFB85450"/>
      </x:font>
      <x:fill>
        <x:patternFill patternType="solid">
          <x:bgColor rgb="FFF8CECC"/>
        </x:patternFill>
      </x:fill>
    </x:dxf>
    <x:dxf>
      <x:font>
        <x:b/>
        <x:color rgb="FF123047"/>
      </x:font>
      <x:fill>
        <x:patternFill patternType="solid">
          <x:bgColor rgb="FFFFF2CC"/>
        </x:patternFill>
      </x:fill>
    </x:dxf>
    <x:dxf>
      <x:font>
        <x:b/>
        <x:color rgb="FF288A55"/>
      </x:font>
      <x:fill>
        <x:patternFill patternType="solid">
          <x:bgColor rgb="FFDDF4E7"/>
        </x:patternFill>
      </x:fill>
    </x:dxf>
    <x:dxf>
      <x:font>
        <x:b/>
        <x:color rgb="FF123047"/>
      </x:font>
      <x:fill>
        <x:patternFill patternType="solid">
          <x:bgColor rgb="FFFFF2CC"/>
        </x:patternFill>
      </x:fill>
    </x:dxf>
    <x:dxf>
      <x:font>
        <x:b/>
        <x:color rgb="FFB85450"/>
      </x:font>
      <x:fill>
        <x:patternFill patternType="solid">
          <x:bgColor rgb="FFF8CECC"/>
        </x:patternFill>
      </x:fill>
    </x:dxf>
    <x:dxf>
      <x:font>
        <x:b/>
        <x:color rgb="FF288A55"/>
      </x:font>
      <x:fill>
        <x:patternFill patternType="solid">
          <x:bgColor rgb="FFDDF4E7"/>
        </x:patternFill>
      </x:fill>
    </x:dxf>
    <x:dxf>
      <x:font>
        <x:b/>
        <x:color rgb="FF123047"/>
      </x:font>
      <x:fill>
        <x:patternFill patternType="solid">
          <x:bgColor rgb="FFFFF2CC"/>
        </x:patternFill>
      </x:fill>
    </x:dxf>
    <x:dxf>
      <x:font>
        <x:b/>
        <x:color rgb="FFB85450"/>
      </x:font>
      <x:fill>
        <x:patternFill patternType="solid">
          <x:bgColor rgb="FFF8CECC"/>
        </x:patternFill>
      </x:fill>
    </x:dxf>
    <x:dxf>
      <x:font>
        <x:b/>
        <x:color rgb="FF288A55"/>
      </x:font>
      <x:fill>
        <x:patternFill patternType="solid">
          <x:bgColor rgb="FFDDF4E7"/>
        </x:patternFill>
      </x:fill>
    </x:dxf>
    <x:dxf>
      <x:font>
        <x:b/>
        <x:color rgb="FF123047"/>
      </x:font>
      <x:fill>
        <x:patternFill patternType="solid">
          <x:bgColor rgb="FFFFF2CC"/>
        </x:patternFill>
      </x:fill>
    </x:dxf>
    <x:dxf>
      <x:font>
        <x:b/>
        <x:color rgb="FFB85450"/>
      </x:font>
      <x:fill>
        <x:patternFill patternType="solid">
          <x:bgColor rgb="FFF8CECC"/>
        </x:patternFill>
      </x:fill>
    </x:dxf>
    <x:dxf>
      <x:font>
        <x:b/>
        <x:color rgb="FF288A55"/>
      </x:font>
      <x:fill>
        <x:patternFill patternType="solid">
          <x:bgColor rgb="FFDDF4E7"/>
        </x:patternFill>
      </x:fill>
    </x:dxf>
    <x:dxf>
      <x:font>
        <x:b/>
        <x:color rgb="FF123047"/>
      </x:font>
      <x:fill>
        <x:patternFill patternType="solid">
          <x:bgColor rgb="FFFFF2CC"/>
        </x:patternFill>
      </x:fill>
    </x:dxf>
    <x:dxf>
      <x:font>
        <x:b/>
        <x:color rgb="FFB85450"/>
      </x:font>
      <x:fill>
        <x:patternFill patternType="solid">
          <x:bgColor rgb="FFF8CECC"/>
        </x:patternFill>
      </x:fill>
    </x:dxf>
    <x:dxf>
      <x:font>
        <x:b/>
        <x:color rgb="FF288A55"/>
      </x:font>
      <x:fill>
        <x:patternFill patternType="solid">
          <x:bgColor rgb="FFDDF4E7"/>
        </x:patternFill>
      </x:fill>
    </x:dxf>
    <x:dxf>
      <x:font>
        <x:b/>
        <x:color rgb="FF123047"/>
      </x:font>
      <x:fill>
        <x:patternFill patternType="solid">
          <x:bgColor rgb="FFFFF2CC"/>
        </x:patternFill>
      </x:fill>
    </x:dxf>
    <x:dxf>
      <x:font>
        <x:b/>
        <x:color rgb="FFB85450"/>
      </x:font>
      <x:fill>
        <x:patternFill patternType="solid">
          <x:bgColor rgb="FFF8CECC"/>
        </x:patternFill>
      </x:fill>
    </x:dxf>
    <x:dxf>
      <x:font>
        <x:b/>
        <x:color rgb="FF288A55"/>
      </x:font>
      <x:fill>
        <x:patternFill patternType="solid">
          <x:bgColor rgb="FFDDF4E7"/>
        </x:patternFill>
      </x:fill>
    </x:dxf>
    <x:dxf>
      <x:font>
        <x:b/>
        <x:color rgb="FF123047"/>
      </x:font>
      <x:fill>
        <x:patternFill patternType="solid">
          <x:bgColor rgb="FFFFF2CC"/>
        </x:patternFill>
      </x:fill>
    </x:dxf>
    <x:dxf>
      <x:font>
        <x:b/>
        <x:color rgb="FFB85450"/>
      </x:font>
      <x:fill>
        <x:patternFill patternType="solid">
          <x:bgColor rgb="FFF8CECC"/>
        </x:patternFill>
      </x:fill>
    </x:dxf>
    <x:dxf>
      <x:font>
        <x:b/>
        <x:color rgb="FF288A55"/>
      </x:font>
      <x:fill>
        <x:patternFill patternType="solid">
          <x:bgColor rgb="FFDDF4E7"/>
        </x:patternFill>
      </x:fill>
    </x:dxf>
    <x:dxf>
      <x:font>
        <x:b/>
        <x:color rgb="FF123047"/>
      </x:font>
      <x:fill>
        <x:patternFill patternType="solid">
          <x:bgColor rgb="FFFFF2CC"/>
        </x:patternFill>
      </x:fill>
    </x:dxf>
    <x:dxf>
      <x:font>
        <x:b/>
        <x:color rgb="FFB85450"/>
      </x:font>
      <x:fill>
        <x:patternFill patternType="solid">
          <x:bgColor rgb="FFF8CECC"/>
        </x:patternFill>
      </x:fill>
    </x:dxf>
    <x:dxf>
      <x:font>
        <x:b/>
        <x:color rgb="FF288A55"/>
      </x:font>
      <x:fill>
        <x:patternFill patternType="solid">
          <x:bgColor rgb="FFDDF4E7"/>
        </x:patternFill>
      </x:fill>
    </x:dxf>
    <x:dxf>
      <x:font>
        <x:b/>
        <x:color rgb="FF123047"/>
      </x:font>
      <x:fill>
        <x:patternFill patternType="solid">
          <x:bgColor rgb="FFFFF2CC"/>
        </x:patternFill>
      </x:fill>
    </x:dxf>
    <x:dxf>
      <x:font>
        <x:b/>
        <x:color rgb="FFB85450"/>
      </x:font>
      <x:fill>
        <x:patternFill patternType="solid">
          <x:bgColor rgb="FFF8CECC"/>
        </x:patternFill>
      </x:fill>
    </x:dxf>
    <x:dxf>
      <x:font>
        <x:b/>
        <x:color rgb="FF288A55"/>
      </x:font>
      <x:fill>
        <x:patternFill patternType="solid">
          <x:bgColor rgb="FFDDF4E7"/>
        </x:patternFill>
      </x:fill>
    </x:dxf>
    <x:dxf>
      <x:font>
        <x:b/>
        <x:color rgb="FF123047"/>
      </x:font>
      <x:fill>
        <x:patternFill patternType="solid">
          <x:bgColor rgb="FFFFF2CC"/>
        </x:patternFill>
      </x:fill>
    </x:dxf>
    <x:dxf>
      <x:font>
        <x:b/>
        <x:color rgb="FFB85450"/>
      </x:font>
      <x:fill>
        <x:patternFill patternType="solid">
          <x:bgColor rgb="FFF8CECC"/>
        </x:patternFill>
      </x:fill>
    </x:dxf>
    <x:dxf>
      <x:font>
        <x:b/>
        <x:color rgb="FF288A55"/>
      </x:font>
      <x:fill>
        <x:patternFill patternType="solid">
          <x:bgColor rgb="FFDDF4E7"/>
        </x:patternFill>
      </x:fill>
    </x:dxf>
    <x:dxf>
      <x:font>
        <x:b/>
        <x:color rgb="FF123047"/>
      </x:font>
      <x:fill>
        <x:patternFill patternType="solid">
          <x:bgColor rgb="FFFFF2CC"/>
        </x:patternFill>
      </x:fill>
    </x:dxf>
    <x:dxf>
      <x:font>
        <x:b/>
        <x:color rgb="FFB85450"/>
      </x:font>
      <x:fill>
        <x:patternFill patternType="solid">
          <x:bgColor rgb="FFF8CECC"/>
        </x:patternFill>
      </x:fill>
    </x:dxf>
    <x:dxf>
      <x:font>
        <x:b/>
        <x:color rgb="FF288A55"/>
      </x:font>
      <x:fill>
        <x:patternFill patternType="solid">
          <x:bgColor rgb="FFDDF4E7"/>
        </x:patternFill>
      </x:fill>
    </x:dxf>
    <x:dxf>
      <x:font>
        <x:b/>
        <x:color rgb="FF123047"/>
      </x:font>
      <x:fill>
        <x:patternFill patternType="solid">
          <x:bgColor rgb="FFFFF2CC"/>
        </x:patternFill>
      </x:fill>
    </x:dxf>
    <x:dxf>
      <x:font>
        <x:b/>
        <x:color rgb="FFB85450"/>
      </x:font>
      <x:fill>
        <x:patternFill patternType="solid">
          <x:bgColor rgb="FFF8CECC"/>
        </x:patternFill>
      </x:fill>
    </x:dxf>
    <x:dxf>
      <x:font>
        <x:b/>
        <x:color rgb="FF288A55"/>
      </x:font>
      <x:fill>
        <x:patternFill patternType="solid">
          <x:bgColor rgb="FFDDF4E7"/>
        </x:patternFill>
      </x:fill>
    </x:dxf>
    <x:dxf>
      <x:font>
        <x:b/>
        <x:color rgb="FF123047"/>
      </x:font>
      <x:fill>
        <x:patternFill patternType="solid">
          <x:bgColor rgb="FFFFF2CC"/>
        </x:patternFill>
      </x:fill>
    </x:dxf>
    <x:dxf>
      <x:font>
        <x:b/>
        <x:color rgb="FFB85450"/>
      </x:font>
      <x:fill>
        <x:patternFill patternType="solid">
          <x:bgColor rgb="FFF8CE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54f352321242c0" /><Relationship Type="http://schemas.openxmlformats.org/officeDocument/2006/relationships/theme" Target="/xl/theme/theme1.xml" Id="Rf987767daa244739" /><Relationship Type="http://schemas.openxmlformats.org/officeDocument/2006/relationships/sharedStrings" Target="/xl/sharedStrings.xml" Id="R8256742d7ce64512" /><Relationship Type="http://schemas.openxmlformats.org/officeDocument/2006/relationships/worksheet" Target="/xl/worksheets/sheet1.xml" Id="Rae8efdeaf5324c8a" /><Relationship Type="http://schemas.openxmlformats.org/officeDocument/2006/relationships/worksheet" Target="/xl/worksheets/sheet2.xml" Id="R897ac3484e7e407d" /><Relationship Type="http://schemas.openxmlformats.org/officeDocument/2006/relationships/worksheet" Target="/xl/worksheets/sheet3.xml" Id="R0ef8b87721924bb8" /><Relationship Type="http://schemas.openxmlformats.org/officeDocument/2006/relationships/worksheet" Target="/xl/worksheets/sheet4.xml" Id="R133d0a1843e249a8" /><Relationship Type="http://schemas.openxmlformats.org/officeDocument/2006/relationships/worksheet" Target="/xl/worksheets/sheet5.xml" Id="Rd779a7ceffe04064" /><Relationship Type="http://schemas.openxmlformats.org/officeDocument/2006/relationships/worksheet" Target="/xl/worksheets/sheet6.xml" Id="R9bcef26a1717463e" /><Relationship Type="http://schemas.openxmlformats.org/officeDocument/2006/relationships/worksheet" Target="/xl/worksheets/sheet7.xml" Id="R69c8d3dd2ccc497c" /></Relationships>
</file>

<file path=xl/tables/table1.xml><?xml version="1.0" encoding="utf-8"?>
<x:table xmlns:x="http://schemas.openxmlformats.org/spreadsheetml/2006/main" id="1" name="BrechasTable" displayName="BrechasTable" ref="A5:M19" headerRowCount="1" totalsRowCount="0" totalsRowShown="0">
  <x:tableColumns count="13">
    <x:tableColumn id="1" name="ID"/>
    <x:tableColumn id="2" name="Origen / evidencia"/>
    <x:tableColumn id="3" name="Tipo"/>
    <x:tableColumn id="4" name="Brecha AS-IS"/>
    <x:tableColumn id="5" name="Impacto observado"/>
    <x:tableColumn id="6" name="Estado TO-BE"/>
    <x:tableColumn id="7" name="Solución"/>
    <x:tableColumn id="8" name="Beneficio de negocio"/>
    <x:tableColumn id="9" name="Beneficio tecnológico / seguridad"/>
    <x:tableColumn id="10" name="Riesgo o dependencia"/>
    <x:tableColumn id="11" name="Prioridad"/>
    <x:tableColumn id="12" name="Capacidad"/>
    <x:tableColumn id="13" name="Paque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pacidadesTable" displayName="CapacidadesTable" ref="A5:H10" headerRowCount="1" totalsRowCount="0" totalsRowShown="0">
  <x:tableColumns count="8">
    <x:tableColumn id="1" name="Capacidad"/>
    <x:tableColumn id="2" name="AS-IS"/>
    <x:tableColumn id="3" name="TO-BE"/>
    <x:tableColumn id="4" name="Cambio"/>
    <x:tableColumn id="5" name="Evidencia"/>
    <x:tableColumn id="6" name="Solución"/>
    <x:tableColumn id="7" name="Paquete"/>
    <x:tableColumn id="8" name="Criterio de salid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entesTable" displayName="FuentesTable" ref="A5:E17" headerRowCount="1" totalsRowCount="0" totalsRowShown="0">
  <x:tableColumns count="5">
    <x:tableColumn id="1" name="ID"/>
    <x:tableColumn id="2" name="Fuente"/>
    <x:tableColumn id="3" name="Uso en el taller"/>
    <x:tableColumn id="4" name="URL / ubicación"/>
    <x:tableColumn id="5" name="Ti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8c2114e62547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b3a9cc48fcaa4c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18f825c8275c48ef" /></Relationships>
</file>

<file path=xl/worksheets/sheet1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23" hidden="0" customWidth="1"/>
    <x:col min="4" max="4" width="18" hidden="0" customWidth="1"/>
    <x:col min="5" max="5" width="33" hidden="0" customWidth="1"/>
    <x:col min="6" max="6" width="13" hidden="0" customWidth="1"/>
    <x:col min="7" max="7" width="13" hidden="0" customWidth="1"/>
    <x:col min="8" max="8" width="14" hidden="0" customWidth="1"/>
    <x:col min="9" max="9" width="25" hidden="0" customWidth="1"/>
    <x:col min="10" max="10" width="25" hidden="0" customWidth="1"/>
  </x:cols>
  <x:sheetData>
    <x:row r="1" ht="28" customHeight="1">
      <x:c r="A1" s="4" t="str">
        <x:v>Matriz de brechas y decisiones · Taller 7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34" customHeight="1">
      <x:c r="A3" s="7" t="str">
        <x:v>Directorio de Extensiones Telefónicas · Universidad de La Sabana · escala de decisión 1–5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9" t="str">
        <x:v>Brechas consolidadas</x:v>
      </x:c>
      <x:c r="B5" s="13" t="n">
        <x:f>COUNTA('Matriz de brechas'!A6:A19)</x:f>
        <x:v>14</x:v>
      </x:c>
      <x:c r="C5" s="2"/>
      <x:c r="D5" s="18" t="str">
        <x:v>Decisión</x:v>
      </x:c>
      <x:c r="E5" s="18" t="str">
        <x:v>Alternativa seleccionada</x:v>
      </x:c>
      <x:c r="F5" s="18" t="str">
        <x:v>Base</x:v>
      </x:c>
      <x:c r="G5" s="18" t="str">
        <x:v>Sensibilidad</x:v>
      </x:c>
      <x:c r="H5" s="18" t="str">
        <x:v>Resultado</x:v>
      </x:c>
      <x:c r="I5" s="18" t="str">
        <x:v>Paquete</x:v>
      </x:c>
      <x:c r="J5" s="18" t="str">
        <x:v>Orden</x:v>
      </x:c>
    </x:row>
    <x:row r="6">
      <x:c r="A6" s="9" t="str">
        <x:v>Brechas de prioridad alta</x:v>
      </x:c>
      <x:c r="B6" s="13" t="n">
        <x:f>COUNTIF('Matriz de brechas'!K6:K19,"Alta")</x:f>
        <x:v>12</x:v>
      </x:c>
      <x:c r="C6" s="2"/>
      <x:c r="D6" s="26" t="str">
        <x:v>Directorio</x:v>
      </x:c>
      <x:c r="E6" s="26" t="str">
        <x:v>SharePoint List institucional + grupos</x:v>
      </x:c>
      <x:c r="F6" s="27" t="n">
        <x:f>'Decisión Directorio'!J15</x:f>
        <x:v>4.8</x:v>
      </x:c>
      <x:c r="G6" s="27" t="n">
        <x:f>'Decisión Directorio'!C27</x:f>
        <x:v>4.65</x:v>
      </x:c>
      <x:c r="H6" s="30" t="str">
        <x:v>Estable</x:v>
      </x:c>
      <x:c r="I6" s="26" t="str">
        <x:v>WP1</x:v>
      </x:c>
      <x:c r="J6" s="26" t="n">
        <x:v>1</x:v>
      </x:c>
    </x:row>
    <x:row r="7">
      <x:c r="A7" s="9" t="str">
        <x:v>Soluciones priorizadas</x:v>
      </x:c>
      <x:c r="B7" s="13" t="n">
        <x:v>3</x:v>
      </x:c>
      <x:c r="C7" s="2"/>
      <x:c r="D7" s="26" t="str">
        <x:v>Conciliación</x:v>
      </x:c>
      <x:c r="E7" s="26" t="str">
        <x:v>Power Automate + llave Id Empleado</x:v>
      </x:c>
      <x:c r="F7" s="27" t="n">
        <x:f>'Decisión Conciliación'!J15</x:f>
        <x:v>4.8</x:v>
      </x:c>
      <x:c r="G7" s="27" t="n">
        <x:f>'Decisión Conciliación'!C27</x:f>
        <x:v>4.65</x:v>
      </x:c>
      <x:c r="H7" s="30" t="str">
        <x:v>Estable</x:v>
      </x:c>
      <x:c r="I7" s="26" t="str">
        <x:v>WP2</x:v>
      </x:c>
      <x:c r="J7" s="26" t="n">
        <x:v>2</x:v>
      </x:c>
    </x:row>
    <x:row r="8">
      <x:c r="A8" s="2"/>
      <x:c r="B8" s="2"/>
      <x:c r="C8" s="2"/>
      <x:c r="D8" s="26" t="str">
        <x:v>Aprovisionamiento</x:v>
      </x:c>
      <x:c r="E8" s="26" t="str">
        <x:v>Lista SharePoint + flujo + Teams</x:v>
      </x:c>
      <x:c r="F8" s="27" t="n">
        <x:f>'Decisión Aprovisionamiento'!J15</x:f>
        <x:v>4.6</x:v>
      </x:c>
      <x:c r="G8" s="27" t="n">
        <x:f>'Decisión Aprovisionamiento'!C27</x:f>
        <x:v>4.5</x:v>
      </x:c>
      <x:c r="H8" s="30" t="str">
        <x:v>Estable</x:v>
      </x:c>
      <x:c r="I8" s="26" t="str">
        <x:v>WP3</x:v>
      </x:c>
      <x:c r="J8" s="26" t="n">
        <x:v>3</x:v>
      </x:c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 ht="24" customHeight="1">
      <x:c r="A10" s="32" t="str">
        <x:v>Soluciones priorizadas</x:v>
      </x:c>
      <x:c r="B10" s="32"/>
      <x:c r="C10" s="32"/>
      <x:c r="D10" s="32"/>
      <x:c r="E10" s="32"/>
      <x:c r="F10" s="32"/>
      <x:c r="G10" s="32"/>
      <x:c r="H10" s="32"/>
      <x:c r="I10" s="32"/>
      <x:c r="J10" s="32"/>
    </x:row>
    <x:row r="11">
      <x:c r="A11" s="18" t="str">
        <x:v>Prioridad</x:v>
      </x:c>
      <x:c r="B11" s="18" t="str">
        <x:v>Solución</x:v>
      </x:c>
      <x:c r="C11" s="18" t="str">
        <x:v>Componente central</x:v>
      </x:c>
      <x:c r="D11" s="18" t="str">
        <x:v>Impacto</x:v>
      </x:c>
      <x:c r="E11" s="18" t="str">
        <x:v>Esfuerzo</x:v>
      </x:c>
      <x:c r="F11" s="18" t="str">
        <x:v>Brechas principales</x:v>
      </x:c>
      <x:c r="G11" s="18" t="str">
        <x:v>Control clave</x:v>
      </x:c>
      <x:c r="H11" s="18" t="str">
        <x:v>Beneficio</x:v>
      </x:c>
      <x:c r="I11" s="18" t="str">
        <x:v>Riesgo principal</x:v>
      </x:c>
      <x:c r="J11" s="18" t="str">
        <x:v>Criterio de salida</x:v>
      </x:c>
    </x:row>
    <x:row r="12" ht="66" customHeight="1">
      <x:c r="A12" s="34" t="n">
        <x:v>1</x:v>
      </x:c>
      <x:c r="B12" s="26" t="str">
        <x:v>S1 · Directorio gobernado</x:v>
      </x:c>
      <x:c r="C12" s="26" t="str">
        <x:v>SharePoint List + Entra ID</x:v>
      </x:c>
      <x:c r="D12" s="26" t="str">
        <x:v>Muy alto</x:v>
      </x:c>
      <x:c r="E12" s="26" t="str">
        <x:v>Medio</x:v>
      </x:c>
      <x:c r="F12" s="26" t="str">
        <x:v>D2, D3, C3, C4, C7, C8</x:v>
      </x:c>
      <x:c r="G12" s="26" t="str">
        <x:v>Menor privilegio y versionado</x:v>
      </x:c>
      <x:c r="H12" s="26" t="str">
        <x:v>Fuente única institucional</x:v>
      </x:c>
      <x:c r="I12" s="26" t="str">
        <x:v>Inconsistencias al migrar</x:v>
      </x:c>
      <x:c r="J12" s="26" t="str">
        <x:v>Llave única, roles y versionado activos</x:v>
      </x:c>
    </x:row>
    <x:row r="13" ht="66" customHeight="1">
      <x:c r="A13" s="34" t="n">
        <x:v>2</x:v>
      </x:c>
      <x:c r="B13" s="26" t="str">
        <x:v>S2 · Conciliación automatizada</x:v>
      </x:c>
      <x:c r="C13" s="26" t="str">
        <x:v>Power Automate + SharePoint</x:v>
      </x:c>
      <x:c r="D13" s="26" t="str">
        <x:v>Muy alto</x:v>
      </x:c>
      <x:c r="E13" s="26" t="str">
        <x:v>Medio</x:v>
      </x:c>
      <x:c r="F13" s="26" t="str">
        <x:v>D1, D7, C1, C5</x:v>
      </x:c>
      <x:c r="G13" s="26" t="str">
        <x:v>Validación antes de actualizar</x:v>
      </x:c>
      <x:c r="H13" s="26" t="str">
        <x:v>Revisión solo de excepciones</x:v>
      </x:c>
      <x:c r="I13" s="26" t="str">
        <x:v>Cambio de formato o taxonomía</x:v>
      </x:c>
      <x:c r="J13" s="26" t="str">
        <x:v>Novedades clasificadas y bitácora por ciclo</x:v>
      </x:c>
    </x:row>
    <x:row r="14" ht="66" customHeight="1">
      <x:c r="A14" s="34" t="n">
        <x:v>3</x:v>
      </x:c>
      <x:c r="B14" s="26" t="str">
        <x:v>S3 · Aprovisionamiento trazable</x:v>
      </x:c>
      <x:c r="C14" s="26" t="str">
        <x:v>SharePoint + Power Automate + Teams</x:v>
      </x:c>
      <x:c r="D14" s="26" t="str">
        <x:v>Alto</x:v>
      </x:c>
      <x:c r="E14" s="26" t="str">
        <x:v>Medio</x:v>
      </x:c>
      <x:c r="F14" s="26" t="str">
        <x:v>D4, D5, D6, C10</x:v>
      </x:c>
      <x:c r="G14" s="26" t="str">
        <x:v>Estados, responsable y evidencia</x:v>
      </x:c>
      <x:c r="H14" s="26" t="str">
        <x:v>Pendientes con seguimiento y cierre</x:v>
      </x:c>
      <x:c r="I14" s="26" t="str">
        <x:v>PBX continúa manual</x:v>
      </x:c>
      <x:c r="J14" s="26" t="str">
        <x:v>Cada solicitud termina con confirmación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4" customHeight="1">
      <x:c r="A16" s="32" t="str">
        <x:v>Lectura ejecutiva</x:v>
      </x:c>
      <x:c r="B16" s="32"/>
      <x:c r="C16" s="32"/>
      <x:c r="D16" s="32"/>
      <x:c r="E16" s="32"/>
      <x:c r="F16" s="32"/>
      <x:c r="G16" s="32"/>
      <x:c r="H16" s="32"/>
      <x:c r="I16" s="32"/>
      <x:c r="J16" s="32"/>
    </x:row>
    <x:row r="17">
      <x:c r="A17" s="45" t="str">
        <x:v>La arquitectura objetivo conserva la PBX y el sistema de Desarrollo Humano como sistemas externos. El cambio se concentra en gobernar el dato dentro de Microsoft 365, comparar por Id Empleado y registrar de extremo a extremo cada solicitud. Los resultados de sensibilidad mantienen las tres decisiones aun cuando aumenta el peso de la facilidad operativa.</x:v>
      </x:c>
      <x:c r="B17" s="46"/>
      <x:c r="C17" s="46"/>
      <x:c r="D17" s="46"/>
      <x:c r="E17" s="46"/>
      <x:c r="F17" s="46"/>
      <x:c r="G17" s="46"/>
      <x:c r="H17" s="46"/>
      <x:c r="I17" s="46"/>
      <x:c r="J17" s="47"/>
    </x:row>
    <x:row r="18">
      <x:c r="A18" s="48"/>
      <x:c r="B18" s="49"/>
      <x:c r="C18" s="49"/>
      <x:c r="D18" s="49"/>
      <x:c r="E18" s="49"/>
      <x:c r="F18" s="49"/>
      <x:c r="G18" s="49"/>
      <x:c r="H18" s="49"/>
      <x:c r="I18" s="49"/>
      <x:c r="J18" s="50"/>
    </x:row>
    <x:row r="19">
      <x:c r="A19" s="51"/>
      <x:c r="B19" s="52"/>
      <x:c r="C19" s="52"/>
      <x:c r="D19" s="52"/>
      <x:c r="E19" s="52"/>
      <x:c r="F19" s="52"/>
      <x:c r="G19" s="52"/>
      <x:c r="H19" s="52"/>
      <x:c r="I19" s="52"/>
      <x:c r="J19" s="53"/>
    </x:row>
  </x:sheetData>
  <x:mergeCells>
    <x:mergeCell ref="A1:J2"/>
    <x:mergeCell ref="A3:J3"/>
    <x:mergeCell ref="A10:J10"/>
    <x:mergeCell ref="A16:J16"/>
    <x:mergeCell ref="A17:J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6A84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19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  <x:col min="9" max="9" width="29" hidden="0" customWidth="1"/>
    <x:col min="10" max="10" width="29" hidden="0" customWidth="1"/>
    <x:col min="11" max="11" width="11" hidden="0" customWidth="1"/>
    <x:col min="12" max="12" width="24" hidden="0" customWidth="1"/>
    <x:col min="13" max="13" width="10" hidden="0" customWidth="1"/>
  </x:cols>
  <x:sheetData>
    <x:row r="1" ht="28" customHeight="1">
      <x:c r="A1" s="4" t="str">
        <x:v>Matriz de brechas consolidada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34" customHeight="1">
      <x:c r="A3" s="7" t="str">
        <x:v>Cada fila conecta evidencia AS-IS con el estado TO-BE, la solución, el beneficio, el riesgo y el paquete de trabajo.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18" t="str">
        <x:v>ID</x:v>
      </x:c>
      <x:c r="B5" s="18" t="str">
        <x:v>Origen / evidencia</x:v>
      </x:c>
      <x:c r="C5" s="18" t="str">
        <x:v>Tipo</x:v>
      </x:c>
      <x:c r="D5" s="18" t="str">
        <x:v>Brecha AS-IS</x:v>
      </x:c>
      <x:c r="E5" s="18" t="str">
        <x:v>Impacto observado</x:v>
      </x:c>
      <x:c r="F5" s="18" t="str">
        <x:v>Estado TO-BE</x:v>
      </x:c>
      <x:c r="G5" s="18" t="str">
        <x:v>Solución</x:v>
      </x:c>
      <x:c r="H5" s="18" t="str">
        <x:v>Beneficio de negocio</x:v>
      </x:c>
      <x:c r="I5" s="18" t="str">
        <x:v>Beneficio tecnológico / seguridad</x:v>
      </x:c>
      <x:c r="J5" s="18" t="str">
        <x:v>Riesgo o dependencia</x:v>
      </x:c>
      <x:c r="K5" s="18" t="str">
        <x:v>Prioridad</x:v>
      </x:c>
      <x:c r="L5" s="18" t="str">
        <x:v>Capacidad</x:v>
      </x:c>
      <x:c r="M5" s="18" t="str">
        <x:v>Paquete</x:v>
      </x:c>
    </x:row>
    <x:row r="6" ht="76" customHeight="1">
      <x:c r="A6" s="56" t="str">
        <x:v>G01</x:v>
      </x:c>
      <x:c r="B6" s="26" t="str">
        <x:v>T3 D1 · BPMN B1</x:v>
      </x:c>
      <x:c r="C6" s="26" t="str">
        <x:v>Funcional / proceso</x:v>
      </x:c>
      <x:c r="D6" s="26" t="str">
        <x:v>Conciliación manual de ~6.400 registros para hallar 5–10 novedades.</x:v>
      </x:c>
      <x:c r="E6" s="26" t="str">
        <x:v>Alto esfuerzo y ciclo no mensual.</x:v>
      </x:c>
      <x:c r="F6" s="26" t="str">
        <x:v>Cruce automático por Id Empleado y revisión de excepciones.</x:v>
      </x:c>
      <x:c r="G6" s="26" t="str">
        <x:v>S2</x:v>
      </x:c>
      <x:c r="H6" s="26" t="str">
        <x:v>Concentrar el trabajo en novedades reales.</x:v>
      </x:c>
      <x:c r="I6" s="26" t="str">
        <x:v>Proceso repetible y bitácora por ciclo.</x:v>
      </x:c>
      <x:c r="J6" s="26" t="str">
        <x:v>Cambios en estructura de nómina.</x:v>
      </x:c>
      <x:c r="K6" s="26" t="str">
        <x:v>Alta</x:v>
      </x:c>
      <x:c r="L6" s="26" t="str">
        <x:v>Conciliar novedades de personal</x:v>
      </x:c>
      <x:c r="M6" s="26" t="str">
        <x:v>WP2</x:v>
      </x:c>
    </x:row>
    <x:row r="7" ht="76" customHeight="1">
      <x:c r="A7" s="56" t="str">
        <x:v>G02</x:v>
      </x:c>
      <x:c r="B7" s="26" t="str">
        <x:v>T3 D2–D3</x:v>
      </x:c>
      <x:c r="C7" s="26" t="str">
        <x:v>Aplicación / gobierno</x:v>
      </x:c>
      <x:c r="D7" s="26" t="str">
        <x:v>Directorio como Excel alojado en espacio personal.</x:v>
      </x:c>
      <x:c r="E7" s="26" t="str">
        <x:v>Dependencia individual y fuente débil.</x:v>
      </x:c>
      <x:c r="F7" s="26" t="str">
        <x:v>Lista institucional con esquema, vistas y dueño funcional.</x:v>
      </x:c>
      <x:c r="G7" s="26" t="str">
        <x:v>S1</x:v>
      </x:c>
      <x:c r="H7" s="26" t="str">
        <x:v>Directorio confiable para la atención.</x:v>
      </x:c>
      <x:c r="I7" s="26" t="str">
        <x:v>Fuente única y administración institucional.</x:v>
      </x:c>
      <x:c r="J7" s="26" t="str">
        <x:v>Depuración previa a la migración.</x:v>
      </x:c>
      <x:c r="K7" s="26" t="str">
        <x:v>Alta</x:v>
      </x:c>
      <x:c r="L7" s="26" t="str">
        <x:v>Mantener información de contacto</x:v>
      </x:c>
      <x:c r="M7" s="26" t="str">
        <x:v>WP1</x:v>
      </x:c>
    </x:row>
    <x:row r="8" ht="76" customHeight="1">
      <x:c r="A8" s="56" t="str">
        <x:v>G03</x:v>
      </x:c>
      <x:c r="B8" s="26" t="str">
        <x:v>T3 D4–D5 · T5 C10</x:v>
      </x:c>
      <x:c r="C8" s="26" t="str">
        <x:v>Proceso / trazabilidad</x:v>
      </x:c>
      <x:c r="D8" s="26" t="str">
        <x:v>Solicitudes por Teams o reunión sin caso ni confirmación de retorno.</x:v>
      </x:c>
      <x:c r="E8" s="26" t="str">
        <x:v>Pendientes indefinidos y desacuerdos sin evidencia.</x:v>
      </x:c>
      <x:c r="F8" s="26" t="str">
        <x:v>Solicitud estructurada con estado, responsable y evidencia.</x:v>
      </x:c>
      <x:c r="G8" s="26" t="str">
        <x:v>S3</x:v>
      </x:c>
      <x:c r="H8" s="26" t="str">
        <x:v>Menos reuniones y seguimiento visible.</x:v>
      </x:c>
      <x:c r="I8" s="26" t="str">
        <x:v>Trazabilidad de extremo a extremo.</x:v>
      </x:c>
      <x:c r="J8" s="26" t="str">
        <x:v>Adopción por parte de Tecnología.</x:v>
      </x:c>
      <x:c r="K8" s="26" t="str">
        <x:v>Alta</x:v>
      </x:c>
      <x:c r="L8" s="26" t="str">
        <x:v>Gestionar recursos de telefonía</x:v>
      </x:c>
      <x:c r="M8" s="26" t="str">
        <x:v>WP3</x:v>
      </x:c>
    </x:row>
    <x:row r="9" ht="76" customHeight="1">
      <x:c r="A9" s="56" t="str">
        <x:v>G04</x:v>
      </x:c>
      <x:c r="B9" s="26" t="str">
        <x:v>T3 D6</x:v>
      </x:c>
      <x:c r="C9" s="26" t="str">
        <x:v>Integración</x:v>
      </x:c>
      <x:c r="D9" s="26" t="str">
        <x:v>El estado técnico de la PBX puede diferir del directorio.</x:v>
      </x:c>
      <x:c r="E9" s="26" t="str">
        <x:v>Información operativa desactualizada.</x:v>
      </x:c>
      <x:c r="F9" s="26" t="str">
        <x:v>Confirmación humana registrada después de operar la PBX.</x:v>
      </x:c>
      <x:c r="G9" s="26" t="str">
        <x:v>S3</x:v>
      </x:c>
      <x:c r="H9" s="26" t="str">
        <x:v>Vista vigente para las gestoras.</x:v>
      </x:c>
      <x:c r="I9" s="26" t="str">
        <x:v>Cierre verificable sin inventar una API.</x:v>
      </x:c>
      <x:c r="J9" s="26" t="str">
        <x:v>La operación de PBX sigue siendo manual.</x:v>
      </x:c>
      <x:c r="K9" s="26" t="str">
        <x:v>Alta</x:v>
      </x:c>
      <x:c r="L9" s="26" t="str">
        <x:v>Gestionar recursos de telefonía</x:v>
      </x:c>
      <x:c r="M9" s="26" t="str">
        <x:v>WP3</x:v>
      </x:c>
    </x:row>
    <x:row r="10" ht="76" customHeight="1">
      <x:c r="A10" s="56" t="str">
        <x:v>G05</x:v>
      </x:c>
      <x:c r="B10" s="26" t="str">
        <x:v>T3 D7 · T6-13</x:v>
      </x:c>
      <x:c r="C10" s="26" t="str">
        <x:v>Proceso / datos</x:v>
      </x:c>
      <x:c r="D10" s="26" t="str">
        <x:v>La nómina llega mes vencido y puede acumular desfase.</x:v>
      </x:c>
      <x:c r="E10" s="26" t="str">
        <x:v>Cambios detectados tarde.</x:v>
      </x:c>
      <x:c r="F10" s="26" t="str">
        <x:v>Ejecución mensual sostenida y captura directa de solicitudes nuevas.</x:v>
      </x:c>
      <x:c r="G10" s="26" t="str">
        <x:v>S2 / S3</x:v>
      </x:c>
      <x:c r="H10" s="26" t="str">
        <x:v>Reducir el retraso controlable del ciclo.</x:v>
      </x:c>
      <x:c r="I10" s="26" t="str">
        <x:v>Alertas y estados visibles.</x:v>
      </x:c>
      <x:c r="J10" s="26" t="str">
        <x:v>La fuente conserva su latencia estructural.</x:v>
      </x:c>
      <x:c r="K10" s="26" t="str">
        <x:v>Media</x:v>
      </x:c>
      <x:c r="L10" s="26" t="str">
        <x:v>Conciliar novedades de personal</x:v>
      </x:c>
      <x:c r="M10" s="26" t="str">
        <x:v>WP2</x:v>
      </x:c>
    </x:row>
    <x:row r="11" ht="76" customHeight="1">
      <x:c r="A11" s="56" t="str">
        <x:v>G06</x:v>
      </x:c>
      <x:c r="B11" s="26" t="str">
        <x:v>T5 C3</x:v>
      </x:c>
      <x:c r="C11" s="26" t="str">
        <x:v>Seguridad · integridad</x:v>
      </x:c>
      <x:c r="D11" s="26" t="str">
        <x:v>Edición manual sin tipos de columna ni validaciones.</x:v>
      </x:c>
      <x:c r="E11" s="26" t="str">
        <x:v>Errores se propagan al canal telefónico.</x:v>
      </x:c>
      <x:c r="F11" s="26" t="str">
        <x:v>Columnas tipadas, validación y actualización mediante formulario/lista.</x:v>
      </x:c>
      <x:c r="G11" s="26" t="str">
        <x:v>S1</x:v>
      </x:c>
      <x:c r="H11" s="26" t="str">
        <x:v>Menos transferencias erróneas.</x:v>
      </x:c>
      <x:c r="I11" s="26" t="str">
        <x:v>Integridad validada en origen.</x:v>
      </x:c>
      <x:c r="J11" s="26" t="str">
        <x:v>Reglas demasiado rígidas pueden bloquear casos válidos.</x:v>
      </x:c>
      <x:c r="K11" s="26" t="str">
        <x:v>Alta</x:v>
      </x:c>
      <x:c r="L11" s="26" t="str">
        <x:v>Mantener información de contacto</x:v>
      </x:c>
      <x:c r="M11" s="26" t="str">
        <x:v>WP1</x:v>
      </x:c>
    </x:row>
    <x:row r="12" ht="76" customHeight="1">
      <x:c r="A12" s="56" t="str">
        <x:v>G07</x:v>
      </x:c>
      <x:c r="B12" s="26" t="str">
        <x:v>T5 C4 · T6-10</x:v>
      </x:c>
      <x:c r="C12" s="26" t="str">
        <x:v>Seguridad · auditoría</x:v>
      </x:c>
      <x:c r="D12" s="26" t="str">
        <x:v>Historial de archivo sin trazabilidad por registro.</x:v>
      </x:c>
      <x:c r="E12" s="26" t="str">
        <x:v>No se identifica quién cambió un dato ni por qué.</x:v>
      </x:c>
      <x:c r="F12" s="26" t="str">
        <x:v>Versionado por elemento y bitácora de cambios.</x:v>
      </x:c>
      <x:c r="G12" s="26" t="str">
        <x:v>S1 / S2</x:v>
      </x:c>
      <x:c r="H12" s="26" t="str">
        <x:v>Resolución rápida de inconsistencias.</x:v>
      </x:c>
      <x:c r="I12" s="26" t="str">
        <x:v>No repudio y recuperación por registro.</x:v>
      </x:c>
      <x:c r="J12" s="26" t="str">
        <x:v>La bitácora debe revisarse, no solo almacenarse.</x:v>
      </x:c>
      <x:c r="K12" s="26" t="str">
        <x:v>Alta</x:v>
      </x:c>
      <x:c r="L12" s="26" t="str">
        <x:v>Proteger datos operativos</x:v>
      </x:c>
      <x:c r="M12" s="26" t="str">
        <x:v>WP1</x:v>
      </x:c>
    </x:row>
    <x:row r="13" ht="76" customHeight="1">
      <x:c r="A13" s="56" t="str">
        <x:v>G08</x:v>
      </x:c>
      <x:c r="B13" s="26" t="str">
        <x:v>T5 C5</x:v>
      </x:c>
      <x:c r="C13" s="26" t="str">
        <x:v>Seguridad · confidencialidad</x:v>
      </x:c>
      <x:c r="D13" s="26" t="str">
        <x:v>Nómina circula como adjunto y copia local.</x:v>
      </x:c>
      <x:c r="E13" s="26" t="str">
        <x:v>Exposición de datos personales.</x:v>
      </x:c>
      <x:c r="F13" s="26" t="str">
        <x:v>Biblioteca restringida y procesamiento dentro del tenant.</x:v>
      </x:c>
      <x:c r="G13" s="26" t="str">
        <x:v>S2</x:v>
      </x:c>
      <x:c r="H13" s="26" t="str">
        <x:v>Menor exposición del insumo.</x:v>
      </x:c>
      <x:c r="I13" s="26" t="str">
        <x:v>Acceso nominal y compartición controlada.</x:v>
      </x:c>
      <x:c r="J13" s="26" t="str">
        <x:v>Persistencia de copias previas.</x:v>
      </x:c>
      <x:c r="K13" s="26" t="str">
        <x:v>Alta</x:v>
      </x:c>
      <x:c r="L13" s="26" t="str">
        <x:v>Proteger datos operativos</x:v>
      </x:c>
      <x:c r="M13" s="26" t="str">
        <x:v>WP2</x:v>
      </x:c>
    </x:row>
    <x:row r="14" ht="76" customHeight="1">
      <x:c r="A14" s="56" t="str">
        <x:v>G09</x:v>
      </x:c>
      <x:c r="B14" s="26" t="str">
        <x:v>T5 C7 · T6-8</x:v>
      </x:c>
      <x:c r="C14" s="26" t="str">
        <x:v>Seguridad · disponibilidad</x:v>
      </x:c>
      <x:c r="D14" s="26" t="str">
        <x:v>Canal dependiente de un archivo y de una administradora.</x:v>
      </x:c>
      <x:c r="E14" s="26" t="str">
        <x:v>Consulta de una versión conflictiva o no vigente.</x:v>
      </x:c>
      <x:c r="F14" s="26" t="str">
        <x:v>Fuente institucional, vista publicada y responsable suplente.</x:v>
      </x:c>
      <x:c r="G14" s="26" t="str">
        <x:v>S1</x:v>
      </x:c>
      <x:c r="H14" s="26" t="str">
        <x:v>Continuidad de la atención telefónica.</x:v>
      </x:c>
      <x:c r="I14" s="26" t="str">
        <x:v>Separación de consulta y administración.</x:v>
      </x:c>
      <x:c r="J14" s="26" t="str">
        <x:v>Procedimiento de recuperación no ejercitado.</x:v>
      </x:c>
      <x:c r="K14" s="26" t="str">
        <x:v>Alta</x:v>
      </x:c>
      <x:c r="L14" s="26" t="str">
        <x:v>Atender y transferir llamadas</x:v>
      </x:c>
      <x:c r="M14" s="26" t="str">
        <x:v>WP1</x:v>
      </x:c>
    </x:row>
    <x:row r="15" ht="76" customHeight="1">
      <x:c r="A15" s="56" t="str">
        <x:v>G10</x:v>
      </x:c>
      <x:c r="B15" s="26" t="str">
        <x:v>T5 C8 · T6-6</x:v>
      </x:c>
      <x:c r="C15" s="26" t="str">
        <x:v>Seguridad · privilegios</x:v>
      </x:c>
      <x:c r="D15" s="26" t="str">
        <x:v>Usuarios de consulta pueden recibir edición del archivo completo.</x:v>
      </x:c>
      <x:c r="E15" s="26" t="str">
        <x:v>Cambios no gobernados.</x:v>
      </x:c>
      <x:c r="F15" s="26" t="str">
        <x:v>Grupos separados de consulta, custodia y Tecnología.</x:v>
      </x:c>
      <x:c r="G15" s="26" t="str">
        <x:v>S1</x:v>
      </x:c>
      <x:c r="H15" s="26" t="str">
        <x:v>Responsabilidades claras.</x:v>
      </x:c>
      <x:c r="I15" s="26" t="str">
        <x:v>Menor privilegio y segregación de funciones.</x:v>
      </x:c>
      <x:c r="J15" s="26" t="str">
        <x:v>Acumulación de permisos si no se revisan.</x:v>
      </x:c>
      <x:c r="K15" s="26" t="str">
        <x:v>Alta</x:v>
      </x:c>
      <x:c r="L15" s="26" t="str">
        <x:v>Proteger datos operativos</x:v>
      </x:c>
      <x:c r="M15" s="26" t="str">
        <x:v>WP1</x:v>
      </x:c>
    </x:row>
    <x:row r="16" ht="76" customHeight="1">
      <x:c r="A16" s="56" t="str">
        <x:v>G11</x:v>
      </x:c>
      <x:c r="B16" s="26" t="str">
        <x:v>T5 C9</x:v>
      </x:c>
      <x:c r="C16" s="26" t="str">
        <x:v>Seguridad · automatización</x:v>
      </x:c>
      <x:c r="D16" s="26" t="str">
        <x:v>Un flujo con propietario individual puede quedar huérfano o heredar privilegios amplios.</x:v>
      </x:c>
      <x:c r="E16" s="26" t="str">
        <x:v>Interrupción o acceso excesivo.</x:v>
      </x:c>
      <x:c r="F16" s="26" t="str">
        <x:v>Copropiedad institucional y conexiones con privilegio mínimo.</x:v>
      </x:c>
      <x:c r="G16" s="26" t="str">
        <x:v>S2 / S3</x:v>
      </x:c>
      <x:c r="H16" s="26" t="str">
        <x:v>Operación sostenible por la unidad.</x:v>
      </x:c>
      <x:c r="I16" s="26" t="str">
        <x:v>Gobierno del ciclo de vida del flujo.</x:v>
      </x:c>
      <x:c r="J16" s="26" t="str">
        <x:v>Cambio de rol de un propietario.</x:v>
      </x:c>
      <x:c r="K16" s="26" t="str">
        <x:v>Alta</x:v>
      </x:c>
      <x:c r="L16" s="26" t="str">
        <x:v>Proteger datos operativos</x:v>
      </x:c>
      <x:c r="M16" s="26" t="str">
        <x:v>WP2</x:v>
      </x:c>
    </x:row>
    <x:row r="17" ht="76" customHeight="1">
      <x:c r="A17" s="56" t="str">
        <x:v>G12</x:v>
      </x:c>
      <x:c r="B17" s="26" t="str">
        <x:v>T6-11/12</x:v>
      </x:c>
      <x:c r="C17" s="26" t="str">
        <x:v>Cumplimiento / fuga</x:v>
      </x:c>
      <x:c r="D17" s="26" t="str">
        <x:v>Exportaciones y copias del directorio sin control uniforme.</x:v>
      </x:c>
      <x:c r="E17" s="26" t="str">
        <x:v>Versiones paralelas y divulgación indebida.</x:v>
      </x:c>
      <x:c r="F17" s="26" t="str">
        <x:v>Vistas en línea, compartición restringida y controles institucionales.</x:v>
      </x:c>
      <x:c r="G17" s="26" t="str">
        <x:v>S1</x:v>
      </x:c>
      <x:c r="H17" s="26" t="str">
        <x:v>Una sola versión disponible.</x:v>
      </x:c>
      <x:c r="I17" s="26" t="str">
        <x:v>Reduce superficie de fuga y copias.</x:v>
      </x:c>
      <x:c r="J17" s="26" t="str">
        <x:v>Necesidades legítimas de exportación.</x:v>
      </x:c>
      <x:c r="K17" s="26" t="str">
        <x:v>Alta</x:v>
      </x:c>
      <x:c r="L17" s="26" t="str">
        <x:v>Proteger datos operativos</x:v>
      </x:c>
      <x:c r="M17" s="26" t="str">
        <x:v>WP1</x:v>
      </x:c>
    </x:row>
    <x:row r="18" ht="76" customHeight="1">
      <x:c r="A18" s="56" t="str">
        <x:v>G13</x:v>
      </x:c>
      <x:c r="B18" s="26" t="str">
        <x:v>T6-14 · Vision A5</x:v>
      </x:c>
      <x:c r="C18" s="26" t="str">
        <x:v>Calidad del dato</x:v>
      </x:c>
      <x:c r="D18" s="26" t="str">
        <x:v>Cargo + Unidad no identifican una persona; Id Empleado solo existe en nómina.</x:v>
      </x:c>
      <x:c r="E18" s="26" t="str">
        <x:v>Cruces ambiguos y errores de identidad.</x:v>
      </x:c>
      <x:c r="F18" s="26" t="str">
        <x:v>Id Empleado como llave estable del directorio.</x:v>
      </x:c>
      <x:c r="G18" s="26" t="str">
        <x:v>S1 / S2</x:v>
      </x:c>
      <x:c r="H18" s="26" t="str">
        <x:v>Conciliación exacta.</x:v>
      </x:c>
      <x:c r="I18" s="26" t="str">
        <x:v>Integridad referencial entre fuentes.</x:v>
      </x:c>
      <x:c r="J18" s="26" t="str">
        <x:v>Registros históricos sin identificador.</x:v>
      </x:c>
      <x:c r="K18" s="26" t="str">
        <x:v>Alta</x:v>
      </x:c>
      <x:c r="L18" s="26" t="str">
        <x:v>Conciliar novedades de personal</x:v>
      </x:c>
      <x:c r="M18" s="26" t="str">
        <x:v>WP1</x:v>
      </x:c>
    </x:row>
    <x:row r="19" ht="76" customHeight="1">
      <x:c r="A19" s="56" t="str">
        <x:v>G14</x:v>
      </x:c>
      <x:c r="B19" s="26" t="str">
        <x:v>T6-13</x:v>
      </x:c>
      <x:c r="C19" s="26" t="str">
        <x:v>Cumplimiento / retención</x:v>
      </x:c>
      <x:c r="D19" s="26" t="str">
        <x:v>Registros de personal retirado permanecen activos hasta detectar la novedad.</x:v>
      </x:c>
      <x:c r="E19" s="26" t="str">
        <x:v>Información desactualizada y retención innecesaria.</x:v>
      </x:c>
      <x:c r="F19" s="26" t="str">
        <x:v>Estado inactivo, regla de depuración y evidencia del cambio.</x:v>
      </x:c>
      <x:c r="G19" s="26" t="str">
        <x:v>S1 / S2</x:v>
      </x:c>
      <x:c r="H19" s="26" t="str">
        <x:v>Directorio vigente.</x:v>
      </x:c>
      <x:c r="I19" s="26" t="str">
        <x:v>Ciclo de vida explícito del registro.</x:v>
      </x:c>
      <x:c r="J19" s="26" t="str">
        <x:v>La latencia de nómina condiciona la detección.</x:v>
      </x:c>
      <x:c r="K19" s="26" t="str">
        <x:v>Media</x:v>
      </x:c>
      <x:c r="L19" s="26" t="str">
        <x:v>Mantener información de contacto</x:v>
      </x:c>
      <x:c r="M19" s="26" t="str">
        <x:v>WP2</x:v>
      </x:c>
    </x:row>
  </x:sheetData>
  <x:mergeCells>
    <x:mergeCell ref="A1:M2"/>
    <x:mergeCell ref="A3:M3"/>
  </x:mergeCells>
  <x:conditionalFormatting sqref="K6:K19">
    <x:cfRule type="containsText" dxfId="0" priority="1" operator="containsText" text="Alta"/>
    <x:cfRule type="containsText" dxfId="1" priority="2" operator="containsText" text="Media"/>
  </x:conditionalFormatting>
  <x:dataValidations count="1">
    <x:dataValidation type="list" sqref="K6:K19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8c2114e6254726"/>
  </x:tableParts>
</x:worksheet>
</file>

<file path=xl/worksheets/sheet3.xml><?xml version="1.0" encoding="utf-8"?>
<x:worksheet xmlns:x="http://schemas.openxmlformats.org/spreadsheetml/2006/main">
  <x:sheetPr>
    <x:tabColor rgb="FF288A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34" hidden="0" customWidth="1"/>
    <x:col min="4" max="4" width="12" hidden="0" customWidth="1"/>
    <x:col min="5" max="5" width="34" hidden="0" customWidth="1"/>
    <x:col min="6" max="6" width="12" hidden="0" customWidth="1"/>
    <x:col min="7" max="7" width="34" hidden="0" customWidth="1"/>
    <x:col min="8" max="8" width="12" hidden="0" customWidth="1"/>
    <x:col min="9" max="9" width="34" hidden="0" customWidth="1"/>
    <x:col min="10" max="10" width="13" hidden="0" customWidth="1"/>
  </x:cols>
  <x:sheetData>
    <x:row r="1" ht="28" customHeight="1">
      <x:c r="A1" s="4" t="str">
        <x:v>Decisión 1 · Fuente institucional del directorio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34" customHeight="1">
      <x:c r="A3" s="7" t="str">
        <x:v>Impacto: el archivo personal no asegura propiedad institucional, trazabilidad por registro ni separación estable entre consulta y edición.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32" t="str">
        <x:v>Criterios y escalas</x:v>
      </x:c>
      <x:c r="B5" s="32"/>
      <x:c r="C5" s="32"/>
      <x:c r="D5" s="32"/>
      <x:c r="E5" s="32"/>
      <x:c r="F5" s="32"/>
      <x:c r="G5" s="32"/>
      <x:c r="H5" s="32"/>
      <x:c r="I5" s="32"/>
      <x:c r="J5" s="32"/>
    </x:row>
    <x:row r="6">
      <x:c r="A6" s="18" t="str">
        <x:v>Criterio</x:v>
      </x:c>
      <x:c r="B6" s="18" t="str">
        <x:v>Peso base</x:v>
      </x:c>
      <x:c r="C6" s="18" t="str">
        <x:v>Puntaje 5</x:v>
      </x:c>
      <x:c r="D6" s="18" t="str">
        <x:v>Puntaje 1</x:v>
      </x:c>
      <x:c r="E6" s="18" t="str">
        <x:v>Regla / observación</x:v>
      </x:c>
      <x:c r="F6" s="2"/>
      <x:c r="G6" s="2"/>
      <x:c r="H6" s="2"/>
      <x:c r="I6" s="2"/>
      <x:c r="J6" s="2"/>
    </x:row>
    <x:row r="7" ht="54" customHeight="1">
      <x:c r="A7" s="26" t="str">
        <x:v>Cierre de brechas críticas</x:v>
      </x:c>
      <x:c r="B7" s="57" t="n">
        <x:v>0.3</x:v>
      </x:c>
      <x:c r="C7" s="26" t="str">
        <x:v>Cierra propiedad, integridad, disponibilidad y llave única.</x:v>
      </x:c>
      <x:c r="D7" s="26" t="str">
        <x:v>La brecha permanece casi igual.</x:v>
      </x:c>
      <x:c r="E7" s="26" t="str">
        <x:v>Criterio principal.</x:v>
      </x:c>
      <x:c r="F7" s="2"/>
      <x:c r="G7" s="2"/>
      <x:c r="H7" s="2"/>
      <x:c r="I7" s="2"/>
      <x:c r="J7" s="2"/>
    </x:row>
    <x:row r="8" ht="54" customHeight="1">
      <x:c r="A8" s="26" t="str">
        <x:v>Ajuste al entorno institucional</x:v>
      </x:c>
      <x:c r="B8" s="57" t="n">
        <x:v>0.25</x:v>
      </x:c>
      <x:c r="C8" s="26" t="str">
        <x:v>Solo capacidades Microsoft 365 ya definidas.</x:v>
      </x:c>
      <x:c r="D8" s="26" t="str">
        <x:v>Introduce plataforma externa.</x:v>
      </x:c>
      <x:c r="E8" s="26" t="str">
        <x:v>El software externo no es admisible.</x:v>
      </x:c>
      <x:c r="F8" s="2"/>
      <x:c r="G8" s="2"/>
      <x:c r="H8" s="2"/>
      <x:c r="I8" s="2"/>
      <x:c r="J8" s="2"/>
    </x:row>
    <x:row r="9" ht="54" customHeight="1">
      <x:c r="A9" s="26" t="str">
        <x:v>Gobierno y trazabilidad</x:v>
      </x:c>
      <x:c r="B9" s="57" t="n">
        <x:v>0.25</x:v>
      </x:c>
      <x:c r="C9" s="26" t="str">
        <x:v>Roles y cambio por elemento totalmente visibles.</x:v>
      </x:c>
      <x:c r="D9" s="26" t="str">
        <x:v>Sin control por registro.</x:v>
      </x:c>
      <x:c r="E9" s="26" t="str">
        <x:v>Eliminatorio: puntaje mínimo 3.</x:v>
      </x:c>
      <x:c r="F9" s="2"/>
      <x:c r="G9" s="2"/>
      <x:c r="H9" s="2"/>
      <x:c r="I9" s="2"/>
      <x:c r="J9" s="2"/>
    </x:row>
    <x:row r="10" ht="54" customHeight="1">
      <x:c r="A10" s="26" t="str">
        <x:v>Operabilidad por la unidad</x:v>
      </x:c>
      <x:c r="B10" s="57" t="n">
        <x:v>0.2</x:v>
      </x:c>
      <x:c r="C10" s="26" t="str">
        <x:v>Uso cotidiano simple y mantenible.</x:v>
      </x:c>
      <x:c r="D10" s="26" t="str">
        <x:v>Requiere soporte especializado continuo.</x:v>
      </x:c>
      <x:c r="E10" s="26" t="str">
        <x:v>Valora sostenibilidad.</x:v>
      </x:c>
      <x:c r="F10" s="2"/>
      <x:c r="G10" s="2"/>
      <x:c r="H10" s="2"/>
      <x:c r="I10" s="2"/>
      <x:c r="J10" s="2"/>
    </x:row>
    <x:row r="11">
      <x:c r="A11" s="62" t="str">
        <x:v>Comprobación de pesos</x:v>
      </x:c>
      <x:c r="B11" s="63" t="n">
        <x:f>SUM(B7:B10)</x:f>
        <x:v>1</x:v>
      </x:c>
      <x:c r="C11" s="2"/>
      <x:c r="D11" s="2"/>
      <x:c r="E11" s="2"/>
      <x:c r="F11" s="2"/>
      <x:c r="G11" s="2"/>
      <x:c r="H11" s="2"/>
      <x:c r="I11" s="2"/>
      <x:c r="J11" s="2"/>
    </x:row>
    <x:row r="12" ht="24" customHeight="1">
      <x:c r="A12" s="32" t="str">
        <x:v>Evaluación de alternativas</x:v>
      </x:c>
      <x:c r="B12" s="32"/>
      <x:c r="C12" s="32"/>
      <x:c r="D12" s="32"/>
      <x:c r="E12" s="32"/>
      <x:c r="F12" s="32"/>
      <x:c r="G12" s="32"/>
      <x:c r="H12" s="32"/>
      <x:c r="I12" s="32"/>
      <x:c r="J12" s="32"/>
    </x:row>
    <x:row r="13">
      <x:c r="A13" s="18" t="str">
        <x:v>Alternativa</x:v>
      </x:c>
      <x:c r="B13" s="18" t="str">
        <x:v>Cierre</x:v>
      </x:c>
      <x:c r="C13" s="18" t="str">
        <x:v>Justificación</x:v>
      </x:c>
      <x:c r="D13" s="18" t="str">
        <x:v>Ajuste</x:v>
      </x:c>
      <x:c r="E13" s="18" t="str">
        <x:v>Justificación</x:v>
      </x:c>
      <x:c r="F13" s="18" t="str">
        <x:v>Gobierno</x:v>
      </x:c>
      <x:c r="G13" s="18" t="str">
        <x:v>Justificación</x:v>
      </x:c>
      <x:c r="H13" s="18" t="str">
        <x:v>Operación</x:v>
      </x:c>
      <x:c r="I13" s="18" t="str">
        <x:v>Justificación</x:v>
      </x:c>
      <x:c r="J13" s="18" t="str">
        <x:v>Total base</x:v>
      </x:c>
    </x:row>
    <x:row r="14" ht="76" customHeight="1">
      <x:c r="A14" s="26" t="str">
        <x:v>A · Excel/OneDrive reforzado</x:v>
      </x:c>
      <x:c r="B14" s="64" t="n">
        <x:v>2</x:v>
      </x:c>
      <x:c r="C14" s="26" t="str">
        <x:v>Mejora validaciones, pero sigue siendo archivo.</x:v>
      </x:c>
      <x:c r="D14" s="64" t="n">
        <x:v>5</x:v>
      </x:c>
      <x:c r="E14" s="26" t="str">
        <x:v>Conserva las herramientas actuales.</x:v>
      </x:c>
      <x:c r="F14" s="64" t="n">
        <x:v>2</x:v>
      </x:c>
      <x:c r="G14" s="26" t="str">
        <x:v>Historial de archivo; no resuelve trazabilidad por registro.</x:v>
      </x:c>
      <x:c r="H14" s="64" t="n">
        <x:v>4</x:v>
      </x:c>
      <x:c r="I14" s="26" t="str">
        <x:v>La unidad conoce Excel.</x:v>
      </x:c>
      <x:c r="J14" s="67" t="n">
        <x:f>B14*$B$7+D14*$B$8+F14*$B$9+H14*$B$10</x:f>
        <x:v>3.1500000000000004</x:v>
      </x:c>
    </x:row>
    <x:row r="15" ht="76" customHeight="1">
      <x:c r="A15" s="26" t="str">
        <x:v>B · SharePoint List institucional</x:v>
      </x:c>
      <x:c r="B15" s="64" t="n">
        <x:v>5</x:v>
      </x:c>
      <x:c r="C15" s="26" t="str">
        <x:v>Cierra propiedad, esquema, llave y consulta.</x:v>
      </x:c>
      <x:c r="D15" s="64" t="n">
        <x:v>5</x:v>
      </x:c>
      <x:c r="E15" s="26" t="str">
        <x:v>Está dentro de Microsoft 365.</x:v>
      </x:c>
      <x:c r="F15" s="64" t="n">
        <x:v>5</x:v>
      </x:c>
      <x:c r="G15" s="26" t="str">
        <x:v>Permisos, vistas y versiones por elemento.</x:v>
      </x:c>
      <x:c r="H15" s="64" t="n">
        <x:v>4</x:v>
      </x:c>
      <x:c r="I15" s="26" t="str">
        <x:v>Requiere configuración inicial, luego operación simple.</x:v>
      </x:c>
      <x:c r="J15" s="67" t="n">
        <x:f>B15*$B$7+D15*$B$8+F15*$B$9+H15*$B$10</x:f>
        <x:v>4.8</x:v>
      </x:c>
    </x:row>
    <x:row r="16" ht="76" customHeight="1">
      <x:c r="A16" s="26" t="str">
        <x:v>C · Excel en biblioteca + formularios</x:v>
      </x:c>
      <x:c r="B16" s="64" t="n">
        <x:v>3</x:v>
      </x:c>
      <x:c r="C16" s="26" t="str">
        <x:v>Institucionaliza el archivo, pero conserva fragilidad tabular.</x:v>
      </x:c>
      <x:c r="D16" s="64" t="n">
        <x:v>5</x:v>
      </x:c>
      <x:c r="E16" s="26" t="str">
        <x:v>Está dentro de Microsoft 365.</x:v>
      </x:c>
      <x:c r="F16" s="64" t="n">
        <x:v>3</x:v>
      </x:c>
      <x:c r="G16" s="26" t="str">
        <x:v>Mejora acceso, no el historial por fila.</x:v>
      </x:c>
      <x:c r="H16" s="64" t="n">
        <x:v>3</x:v>
      </x:c>
      <x:c r="I16" s="26" t="str">
        <x:v>Mantiene dos mecanismos coordinados.</x:v>
      </x:c>
      <x:c r="J16" s="67" t="n">
        <x:f>B16*$B$7+D16*$B$8+F16*$B$9+H16*$B$10</x:f>
        <x:v>3.5</x:v>
      </x:c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4" customHeight="1">
      <x:c r="A18" s="32" t="str">
        <x:v>Análisis de sensibilidad</x:v>
      </x:c>
      <x:c r="B18" s="32"/>
      <x:c r="C18" s="32"/>
      <x:c r="D18" s="32"/>
      <x:c r="E18" s="32"/>
      <x:c r="F18" s="32"/>
      <x:c r="G18" s="32"/>
      <x:c r="H18" s="32"/>
      <x:c r="I18" s="32"/>
      <x:c r="J18" s="32"/>
    </x:row>
    <x:row r="19">
      <x:c r="A19" s="18" t="str">
        <x:v>Criterio</x:v>
      </x:c>
      <x:c r="B19" s="18" t="str">
        <x:v>Peso base</x:v>
      </x:c>
      <x:c r="C19" s="18" t="str">
        <x:v>Peso sensibilidad</x:v>
      </x:c>
      <x:c r="D19" s="2"/>
      <x:c r="E19" s="2"/>
      <x:c r="F19" s="2"/>
      <x:c r="G19" s="2"/>
      <x:c r="H19" s="2"/>
      <x:c r="I19" s="2"/>
      <x:c r="J19" s="2"/>
    </x:row>
    <x:row r="20" ht="40" customHeight="1">
      <x:c r="A20" s="26" t="str">
        <x:v>Cierre de brechas críticas</x:v>
      </x:c>
      <x:c r="B20" s="57" t="n">
        <x:v>0.3</x:v>
      </x:c>
      <x:c r="C20" s="57" t="n">
        <x:v>0.2</x:v>
      </x:c>
      <x:c r="D20" s="2"/>
      <x:c r="E20" s="2"/>
      <x:c r="F20" s="2"/>
      <x:c r="G20" s="2"/>
      <x:c r="H20" s="2"/>
      <x:c r="I20" s="2"/>
      <x:c r="J20" s="2"/>
    </x:row>
    <x:row r="21" ht="40" customHeight="1">
      <x:c r="A21" s="26" t="str">
        <x:v>Ajuste al entorno institucional</x:v>
      </x:c>
      <x:c r="B21" s="57" t="n">
        <x:v>0.25</x:v>
      </x:c>
      <x:c r="C21" s="57" t="n">
        <x:v>0.25</x:v>
      </x:c>
      <x:c r="D21" s="2"/>
      <x:c r="E21" s="2"/>
      <x:c r="F21" s="2"/>
      <x:c r="G21" s="2"/>
      <x:c r="H21" s="2"/>
      <x:c r="I21" s="2"/>
      <x:c r="J21" s="2"/>
    </x:row>
    <x:row r="22" ht="40" customHeight="1">
      <x:c r="A22" s="26" t="str">
        <x:v>Gobierno y trazabilidad</x:v>
      </x:c>
      <x:c r="B22" s="57" t="n">
        <x:v>0.25</x:v>
      </x:c>
      <x:c r="C22" s="57" t="n">
        <x:v>0.2</x:v>
      </x:c>
      <x:c r="D22" s="2"/>
      <x:c r="E22" s="2"/>
      <x:c r="F22" s="2"/>
      <x:c r="G22" s="2"/>
      <x:c r="H22" s="2"/>
      <x:c r="I22" s="2"/>
      <x:c r="J22" s="2"/>
    </x:row>
    <x:row r="23" ht="40" customHeight="1">
      <x:c r="A23" s="26" t="str">
        <x:v>Operabilidad por la unidad</x:v>
      </x:c>
      <x:c r="B23" s="57" t="n">
        <x:v>0.2</x:v>
      </x:c>
      <x:c r="C23" s="57" t="n">
        <x:v>0.35</x:v>
      </x:c>
      <x:c r="D23" s="2"/>
      <x:c r="E23" s="2"/>
      <x:c r="F23" s="2"/>
      <x:c r="G23" s="2"/>
      <x:c r="H23" s="2"/>
      <x:c r="I23" s="2"/>
      <x:c r="J23" s="2"/>
    </x:row>
    <x:row r="24">
      <x:c r="A24" s="2" t="str">
        <x:v>Comprobación</x:v>
      </x:c>
      <x:c r="B24" s="58" t="n">
        <x:f>SUM(B20:B23)</x:f>
        <x:v>1</x:v>
      </x:c>
      <x:c r="C24" s="58" t="n">
        <x:f>SUM(C20:C23)</x:f>
        <x:v>1</x:v>
      </x:c>
      <x:c r="D24" s="2"/>
      <x:c r="E24" s="2"/>
      <x:c r="F24" s="2"/>
      <x:c r="G24" s="2"/>
      <x:c r="H24" s="2"/>
      <x:c r="I24" s="2"/>
      <x:c r="J24" s="2"/>
    </x:row>
    <x:row r="25">
      <x:c r="A25" s="18" t="str">
        <x:v>Alternativa</x:v>
      </x:c>
      <x:c r="B25" s="18" t="str">
        <x:v>Total base</x:v>
      </x:c>
      <x:c r="C25" s="18" t="str">
        <x:v>Total sensibilidad</x:v>
      </x:c>
      <x:c r="D25" s="18" t="str">
        <x:v>Lectura</x:v>
      </x:c>
      <x:c r="E25" s="2"/>
      <x:c r="F25" s="2"/>
      <x:c r="G25" s="2"/>
      <x:c r="H25" s="2"/>
      <x:c r="I25" s="2"/>
      <x:c r="J25" s="2"/>
    </x:row>
    <x:row r="26">
      <x:c r="A26" s="26" t="str">
        <x:v>A · Excel/OneDrive reforzado</x:v>
      </x:c>
      <x:c r="B26" s="27" t="n">
        <x:f>J14</x:f>
        <x:v>3.1500000000000004</x:v>
      </x:c>
      <x:c r="C26" s="27" t="n">
        <x:f>B14*$C$20+D14*$C$21+F14*$C$22+H14*$C$23</x:f>
        <x:v>3.4499999999999997</x:v>
      </x:c>
      <x:c r="D26" s="26" t="str">
        <x:v>No seleccionada</x:v>
      </x:c>
      <x:c r="E26" s="2"/>
      <x:c r="F26" s="2"/>
      <x:c r="G26" s="2"/>
      <x:c r="H26" s="2"/>
      <x:c r="I26" s="2"/>
      <x:c r="J26" s="2"/>
    </x:row>
    <x:row r="27">
      <x:c r="A27" s="28" t="str">
        <x:v>B · SharePoint List institucional</x:v>
      </x:c>
      <x:c r="B27" s="68" t="n">
        <x:f>J15</x:f>
        <x:v>4.8</x:v>
      </x:c>
      <x:c r="C27" s="68" t="n">
        <x:f>B15*$C$20+D15*$C$21+F15*$C$22+H15*$C$23</x:f>
        <x:v>4.65</x:v>
      </x:c>
      <x:c r="D27" s="28" t="str">
        <x:v>Seleccionada</x:v>
      </x:c>
      <x:c r="E27" s="2"/>
      <x:c r="F27" s="2"/>
      <x:c r="G27" s="2"/>
      <x:c r="H27" s="2"/>
      <x:c r="I27" s="2"/>
      <x:c r="J27" s="2"/>
    </x:row>
    <x:row r="28">
      <x:c r="A28" s="26" t="str">
        <x:v>C · Excel en biblioteca + formularios</x:v>
      </x:c>
      <x:c r="B28" s="27" t="n">
        <x:f>J16</x:f>
        <x:v>3.5</x:v>
      </x:c>
      <x:c r="C28" s="27" t="n">
        <x:f>B16*$C$20+D16*$C$21+F16*$C$22+H16*$C$23</x:f>
        <x:v>3.5</x:v>
      </x:c>
      <x:c r="D28" s="26" t="str">
        <x:v>No seleccionada</x:v>
      </x:c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4" customHeight="1">
      <x:c r="A30" s="32" t="str">
        <x:v>Decisión, trade-off y reevaluación</x:v>
      </x:c>
      <x:c r="B30" s="32"/>
      <x:c r="C30" s="32"/>
      <x:c r="D30" s="32"/>
      <x:c r="E30" s="32"/>
      <x:c r="F30" s="32"/>
      <x:c r="G30" s="32"/>
      <x:c r="H30" s="32"/>
      <x:c r="I30" s="32"/>
      <x:c r="J30" s="32"/>
    </x:row>
    <x:row r="31" ht="30" customHeight="1">
      <x:c r="A31" s="76" t="str">
        <x:v>Decisión: opción B. Trade-off aceptado: se asume el trabajo de migración y configuración a cambio de una fuente institucional tipada, con permisos y versionado por elemento. A se descarta por fallar el umbral de gobierno; C conserva complejidad y trazabilidad parcial.</x:v>
      </x:c>
      <x:c r="B31" s="77"/>
      <x:c r="C31" s="77"/>
      <x:c r="D31" s="77"/>
      <x:c r="E31" s="77"/>
      <x:c r="F31" s="77"/>
      <x:c r="G31" s="77"/>
      <x:c r="H31" s="77"/>
      <x:c r="I31" s="77"/>
      <x:c r="J31" s="78"/>
    </x:row>
    <x:row r="32" ht="30" customHeight="1">
      <x:c r="A32" s="79"/>
      <x:c r="B32" s="80"/>
      <x:c r="C32" s="80"/>
      <x:c r="D32" s="80"/>
      <x:c r="E32" s="80"/>
      <x:c r="F32" s="80"/>
      <x:c r="G32" s="80"/>
      <x:c r="H32" s="80"/>
      <x:c r="I32" s="80"/>
      <x:c r="J32" s="81"/>
    </x:row>
    <x:row r="33" ht="30" customHeight="1">
      <x:c r="A33" s="88" t="str">
        <x:v>Reevaluar si la migración no puede conservar el Id Empleado, si las vistas no cubren la operación de las gestoras o si los controles de acceso no pueden administrarse con grupos institucionales.</x:v>
      </x:c>
      <x:c r="B33" s="89"/>
      <x:c r="C33" s="89"/>
      <x:c r="D33" s="89"/>
      <x:c r="E33" s="89"/>
      <x:c r="F33" s="89"/>
      <x:c r="G33" s="89"/>
      <x:c r="H33" s="89"/>
      <x:c r="I33" s="89"/>
      <x:c r="J33" s="90"/>
    </x:row>
    <x:row r="34" ht="30" customHeight="1">
      <x:c r="A34" s="91"/>
      <x:c r="B34" s="92"/>
      <x:c r="C34" s="92"/>
      <x:c r="D34" s="92"/>
      <x:c r="E34" s="92"/>
      <x:c r="F34" s="92"/>
      <x:c r="G34" s="92"/>
      <x:c r="H34" s="92"/>
      <x:c r="I34" s="92"/>
      <x:c r="J34" s="93"/>
    </x:row>
  </x:sheetData>
  <x:mergeCells>
    <x:mergeCell ref="A1:J2"/>
    <x:mergeCell ref="A3:J3"/>
    <x:mergeCell ref="A5:J5"/>
    <x:mergeCell ref="A12:J12"/>
    <x:mergeCell ref="A18:J18"/>
    <x:mergeCell ref="A30:J30"/>
    <x:mergeCell ref="A31:J32"/>
    <x:mergeCell ref="A33:J34"/>
  </x:mergeCells>
  <x:conditionalFormatting sqref="B14:B16">
    <x:cfRule type="cellIs" dxfId="2" priority="1" operator="greaterThanOrEqual">
      <x:formula>4</x:formula>
    </x:cfRule>
    <x:cfRule type="cellIs" dxfId="3" priority="2" operator="equal">
      <x:formula>3</x:formula>
    </x:cfRule>
    <x:cfRule type="cellIs" dxfId="4" priority="3" operator="lessThanOrEqual">
      <x:formula>2</x:formula>
    </x:cfRule>
  </x:conditionalFormatting>
  <x:conditionalFormatting sqref="D14:D16">
    <x:cfRule type="cellIs" dxfId="5" priority="4" operator="greaterThanOrEqual">
      <x:formula>4</x:formula>
    </x:cfRule>
    <x:cfRule type="cellIs" dxfId="6" priority="5" operator="equal">
      <x:formula>3</x:formula>
    </x:cfRule>
    <x:cfRule type="cellIs" dxfId="7" priority="6" operator="lessThanOrEqual">
      <x:formula>2</x:formula>
    </x:cfRule>
  </x:conditionalFormatting>
  <x:conditionalFormatting sqref="F14:F16">
    <x:cfRule type="cellIs" dxfId="8" priority="7" operator="greaterThanOrEqual">
      <x:formula>4</x:formula>
    </x:cfRule>
    <x:cfRule type="cellIs" dxfId="9" priority="8" operator="equal">
      <x:formula>3</x:formula>
    </x:cfRule>
    <x:cfRule type="cellIs" dxfId="10" priority="9" operator="lessThanOrEqual">
      <x:formula>2</x:formula>
    </x:cfRule>
  </x:conditionalFormatting>
  <x:conditionalFormatting sqref="H14:H16">
    <x:cfRule type="cellIs" dxfId="11" priority="10" operator="greaterThanOrEqual">
      <x:formula>4</x:formula>
    </x:cfRule>
    <x:cfRule type="cellIs" dxfId="12" priority="11" operator="equal">
      <x:formula>3</x:formula>
    </x:cfRule>
    <x:cfRule type="cellIs" dxfId="13" priority="12" operator="lessThanOrEqual">
      <x:formula>2</x:formula>
    </x:cfRule>
  </x:conditionalFormatting>
  <x:dataValidations count="4">
    <x:dataValidation type="whole" operator="between" sqref="B14:B16">
      <x:formula1>1</x:formula1>
      <x:formula2>5</x:formula2>
    </x:dataValidation>
    <x:dataValidation type="whole" operator="between" sqref="D14:D16">
      <x:formula1>1</x:formula1>
      <x:formula2>5</x:formula2>
    </x:dataValidation>
    <x:dataValidation type="whole" operator="between" sqref="F14:F16">
      <x:formula1>1</x:formula1>
      <x:formula2>5</x:formula2>
    </x:dataValidation>
    <x:dataValidation type="whole" operator="between" sqref="H14:H16">
      <x:formula1>1</x:formula1>
      <x:formula2>5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88A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34" hidden="0" customWidth="1"/>
    <x:col min="4" max="4" width="12" hidden="0" customWidth="1"/>
    <x:col min="5" max="5" width="34" hidden="0" customWidth="1"/>
    <x:col min="6" max="6" width="12" hidden="0" customWidth="1"/>
    <x:col min="7" max="7" width="34" hidden="0" customWidth="1"/>
    <x:col min="8" max="8" width="12" hidden="0" customWidth="1"/>
    <x:col min="9" max="9" width="34" hidden="0" customWidth="1"/>
    <x:col min="10" max="10" width="13" hidden="0" customWidth="1"/>
  </x:cols>
  <x:sheetData>
    <x:row r="1" ht="28" customHeight="1">
      <x:c r="A1" s="4" t="str">
        <x:v>Decisión 2 · Método de conciliación nómina–directorio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34" customHeight="1">
      <x:c r="A3" s="7" t="str">
        <x:v>Impacto: revisar ~6.400 registros para hallar 5–10 novedades impide sostener el ciclo mensual y aumenta el riesgo de error humano.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32" t="str">
        <x:v>Criterios y escalas</x:v>
      </x:c>
      <x:c r="B5" s="32"/>
      <x:c r="C5" s="32"/>
      <x:c r="D5" s="32"/>
      <x:c r="E5" s="32"/>
      <x:c r="F5" s="32"/>
      <x:c r="G5" s="32"/>
      <x:c r="H5" s="32"/>
      <x:c r="I5" s="32"/>
      <x:c r="J5" s="32"/>
    </x:row>
    <x:row r="6">
      <x:c r="A6" s="18" t="str">
        <x:v>Criterio</x:v>
      </x:c>
      <x:c r="B6" s="18" t="str">
        <x:v>Peso base</x:v>
      </x:c>
      <x:c r="C6" s="18" t="str">
        <x:v>Puntaje 5</x:v>
      </x:c>
      <x:c r="D6" s="18" t="str">
        <x:v>Puntaje 1</x:v>
      </x:c>
      <x:c r="E6" s="18" t="str">
        <x:v>Regla / observación</x:v>
      </x:c>
      <x:c r="F6" s="2"/>
      <x:c r="G6" s="2"/>
      <x:c r="H6" s="2"/>
      <x:c r="I6" s="2"/>
      <x:c r="J6" s="2"/>
    </x:row>
    <x:row r="7" ht="54" customHeight="1">
      <x:c r="A7" s="26" t="str">
        <x:v>Reducción de revisión manual</x:v>
      </x:c>
      <x:c r="B7" s="57" t="n">
        <x:v>0.35</x:v>
      </x:c>
      <x:c r="C7" s="26" t="str">
        <x:v>Solo se revisan excepciones.</x:v>
      </x:c>
      <x:c r="D7" s="26" t="str">
        <x:v>Se mantiene la revisión completa.</x:v>
      </x:c>
      <x:c r="E7" s="26" t="str">
        <x:v>Criterio principal.</x:v>
      </x:c>
      <x:c r="F7" s="2"/>
      <x:c r="G7" s="2"/>
      <x:c r="H7" s="2"/>
      <x:c r="I7" s="2"/>
      <x:c r="J7" s="2"/>
    </x:row>
    <x:row r="8" ht="54" customHeight="1">
      <x:c r="A8" s="26" t="str">
        <x:v>Calidad y exactitud del cruce</x:v>
      </x:c>
      <x:c r="B8" s="57" t="n">
        <x:v>0.25</x:v>
      </x:c>
      <x:c r="C8" s="26" t="str">
        <x:v>Llave estable y reglas verificables.</x:v>
      </x:c>
      <x:c r="D8" s="26" t="str">
        <x:v>Cruce ambiguo o visual.</x:v>
      </x:c>
      <x:c r="E8" s="26" t="str">
        <x:v>El Id Empleado es obligatorio.</x:v>
      </x:c>
      <x:c r="F8" s="2"/>
      <x:c r="G8" s="2"/>
      <x:c r="H8" s="2"/>
      <x:c r="I8" s="2"/>
      <x:c r="J8" s="2"/>
    </x:row>
    <x:row r="9" ht="54" customHeight="1">
      <x:c r="A9" s="26" t="str">
        <x:v>Ajuste al entorno institucional</x:v>
      </x:c>
      <x:c r="B9" s="57" t="n">
        <x:v>0.2</x:v>
      </x:c>
      <x:c r="C9" s="26" t="str">
        <x:v>Solo Microsoft 365 estándar.</x:v>
      </x:c>
      <x:c r="D9" s="26" t="str">
        <x:v>Requiere software externo.</x:v>
      </x:c>
      <x:c r="E9" s="26" t="str">
        <x:v>El software externo no es admisible.</x:v>
      </x:c>
      <x:c r="F9" s="2"/>
      <x:c r="G9" s="2"/>
      <x:c r="H9" s="2"/>
      <x:c r="I9" s="2"/>
      <x:c r="J9" s="2"/>
    </x:row>
    <x:row r="10" ht="54" customHeight="1">
      <x:c r="A10" s="26" t="str">
        <x:v>Mantenibilidad operativa</x:v>
      </x:c>
      <x:c r="B10" s="57" t="n">
        <x:v>0.2</x:v>
      </x:c>
      <x:c r="C10" s="26" t="str">
        <x:v>Reglas visibles y operación por la unidad.</x:v>
      </x:c>
      <x:c r="D10" s="26" t="str">
        <x:v>Dependencia técnica permanente.</x:v>
      </x:c>
      <x:c r="E10" s="26" t="str">
        <x:v>Debe documentarse.</x:v>
      </x:c>
      <x:c r="F10" s="2"/>
      <x:c r="G10" s="2"/>
      <x:c r="H10" s="2"/>
      <x:c r="I10" s="2"/>
      <x:c r="J10" s="2"/>
    </x:row>
    <x:row r="11">
      <x:c r="A11" s="62" t="str">
        <x:v>Comprobación de pesos</x:v>
      </x:c>
      <x:c r="B11" s="63" t="n">
        <x:f>SUM(B7:B10)</x:f>
        <x:v>1</x:v>
      </x:c>
      <x:c r="C11" s="2"/>
      <x:c r="D11" s="2"/>
      <x:c r="E11" s="2"/>
      <x:c r="F11" s="2"/>
      <x:c r="G11" s="2"/>
      <x:c r="H11" s="2"/>
      <x:c r="I11" s="2"/>
      <x:c r="J11" s="2"/>
    </x:row>
    <x:row r="12" ht="24" customHeight="1">
      <x:c r="A12" s="32" t="str">
        <x:v>Evaluación de alternativas</x:v>
      </x:c>
      <x:c r="B12" s="32"/>
      <x:c r="C12" s="32"/>
      <x:c r="D12" s="32"/>
      <x:c r="E12" s="32"/>
      <x:c r="F12" s="32"/>
      <x:c r="G12" s="32"/>
      <x:c r="H12" s="32"/>
      <x:c r="I12" s="32"/>
      <x:c r="J12" s="32"/>
    </x:row>
    <x:row r="13">
      <x:c r="A13" s="18" t="str">
        <x:v>Alternativa</x:v>
      </x:c>
      <x:c r="B13" s="18" t="str">
        <x:v>Reducción</x:v>
      </x:c>
      <x:c r="C13" s="18" t="str">
        <x:v>Justificación</x:v>
      </x:c>
      <x:c r="D13" s="18" t="str">
        <x:v>Calidad</x:v>
      </x:c>
      <x:c r="E13" s="18" t="str">
        <x:v>Justificación</x:v>
      </x:c>
      <x:c r="F13" s="18" t="str">
        <x:v>Ajuste</x:v>
      </x:c>
      <x:c r="G13" s="18" t="str">
        <x:v>Justificación</x:v>
      </x:c>
      <x:c r="H13" s="18" t="str">
        <x:v>Mantenimiento</x:v>
      </x:c>
      <x:c r="I13" s="18" t="str">
        <x:v>Justificación</x:v>
      </x:c>
      <x:c r="J13" s="18" t="str">
        <x:v>Total base</x:v>
      </x:c>
    </x:row>
    <x:row r="14" ht="76" customHeight="1">
      <x:c r="A14" s="26" t="str">
        <x:v>A · Fórmulas Excel ejecutadas manualmente</x:v>
      </x:c>
      <x:c r="B14" s="64" t="n">
        <x:v>2</x:v>
      </x:c>
      <x:c r="C14" s="26" t="str">
        <x:v>Reduce parte del trabajo, pero depende de ejecutar y revisar.</x:v>
      </x:c>
      <x:c r="D14" s="64" t="n">
        <x:v>3</x:v>
      </x:c>
      <x:c r="E14" s="26" t="str">
        <x:v>Puede usar Id Empleado, aunque con mayor riesgo de manipulación.</x:v>
      </x:c>
      <x:c r="F14" s="64" t="n">
        <x:v>5</x:v>
      </x:c>
      <x:c r="G14" s="26" t="str">
        <x:v>Usa Excel institucional.</x:v>
      </x:c>
      <x:c r="H14" s="64" t="n">
        <x:v>4</x:v>
      </x:c>
      <x:c r="I14" s="26" t="str">
        <x:v>Familiar para la unidad.</x:v>
      </x:c>
      <x:c r="J14" s="67" t="n">
        <x:f>B14*$B$7+D14*$B$8+F14*$B$9+H14*$B$10</x:f>
        <x:v>3.25</x:v>
      </x:c>
    </x:row>
    <x:row r="15" ht="76" customHeight="1">
      <x:c r="A15" s="26" t="str">
        <x:v>B · Power Automate + listas SharePoint</x:v>
      </x:c>
      <x:c r="B15" s="64" t="n">
        <x:v>5</x:v>
      </x:c>
      <x:c r="C15" s="26" t="str">
        <x:v>Genera automáticamente solo excepciones.</x:v>
      </x:c>
      <x:c r="D15" s="64" t="n">
        <x:v>5</x:v>
      </x:c>
      <x:c r="E15" s="26" t="str">
        <x:v>Llave estable, validación y bitácora.</x:v>
      </x:c>
      <x:c r="F15" s="64" t="n">
        <x:v>5</x:v>
      </x:c>
      <x:c r="G15" s="26" t="str">
        <x:v>Conectores estándar de Microsoft 365.</x:v>
      </x:c>
      <x:c r="H15" s="64" t="n">
        <x:v>4</x:v>
      </x:c>
      <x:c r="I15" s="26" t="str">
        <x:v>Configuración inicial; reglas luego visibles y documentadas.</x:v>
      </x:c>
      <x:c r="J15" s="67" t="n">
        <x:f>B15*$B$7+D15*$B$8+F15*$B$9+H15*$B$10</x:f>
        <x:v>4.8</x:v>
      </x:c>
    </x:row>
    <x:row r="16" ht="76" customHeight="1">
      <x:c r="A16" s="26" t="str">
        <x:v>C · Power Query con plantilla controlada</x:v>
      </x:c>
      <x:c r="B16" s="64" t="n">
        <x:v>4</x:v>
      </x:c>
      <x:c r="C16" s="26" t="str">
        <x:v>Produce diferencias, pero requiere ejecución manual.</x:v>
      </x:c>
      <x:c r="D16" s="64" t="n">
        <x:v>4</x:v>
      </x:c>
      <x:c r="E16" s="26" t="str">
        <x:v>Cruce reproducible por Id Empleado.</x:v>
      </x:c>
      <x:c r="F16" s="64" t="n">
        <x:v>5</x:v>
      </x:c>
      <x:c r="G16" s="26" t="str">
        <x:v>Usa Excel/Microsoft 365.</x:v>
      </x:c>
      <x:c r="H16" s="64" t="n">
        <x:v>3</x:v>
      </x:c>
      <x:c r="I16" s="26" t="str">
        <x:v>Depende de actualizar consultas y rutas de archivos.</x:v>
      </x:c>
      <x:c r="J16" s="67" t="n">
        <x:f>B16*$B$7+D16*$B$8+F16*$B$9+H16*$B$10</x:f>
        <x:v>4</x:v>
      </x:c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4" customHeight="1">
      <x:c r="A18" s="32" t="str">
        <x:v>Análisis de sensibilidad</x:v>
      </x:c>
      <x:c r="B18" s="32"/>
      <x:c r="C18" s="32"/>
      <x:c r="D18" s="32"/>
      <x:c r="E18" s="32"/>
      <x:c r="F18" s="32"/>
      <x:c r="G18" s="32"/>
      <x:c r="H18" s="32"/>
      <x:c r="I18" s="32"/>
      <x:c r="J18" s="32"/>
    </x:row>
    <x:row r="19">
      <x:c r="A19" s="18" t="str">
        <x:v>Criterio</x:v>
      </x:c>
      <x:c r="B19" s="18" t="str">
        <x:v>Peso base</x:v>
      </x:c>
      <x:c r="C19" s="18" t="str">
        <x:v>Peso sensibilidad</x:v>
      </x:c>
      <x:c r="D19" s="2"/>
      <x:c r="E19" s="2"/>
      <x:c r="F19" s="2"/>
      <x:c r="G19" s="2"/>
      <x:c r="H19" s="2"/>
      <x:c r="I19" s="2"/>
      <x:c r="J19" s="2"/>
    </x:row>
    <x:row r="20" ht="40" customHeight="1">
      <x:c r="A20" s="26" t="str">
        <x:v>Reducción de revisión manual</x:v>
      </x:c>
      <x:c r="B20" s="57" t="n">
        <x:v>0.35</x:v>
      </x:c>
      <x:c r="C20" s="57" t="n">
        <x:v>0.25</x:v>
      </x:c>
      <x:c r="D20" s="2"/>
      <x:c r="E20" s="2"/>
      <x:c r="F20" s="2"/>
      <x:c r="G20" s="2"/>
      <x:c r="H20" s="2"/>
      <x:c r="I20" s="2"/>
      <x:c r="J20" s="2"/>
    </x:row>
    <x:row r="21" ht="40" customHeight="1">
      <x:c r="A21" s="26" t="str">
        <x:v>Calidad y exactitud del cruce</x:v>
      </x:c>
      <x:c r="B21" s="57" t="n">
        <x:v>0.25</x:v>
      </x:c>
      <x:c r="C21" s="57" t="n">
        <x:v>0.2</x:v>
      </x:c>
      <x:c r="D21" s="2"/>
      <x:c r="E21" s="2"/>
      <x:c r="F21" s="2"/>
      <x:c r="G21" s="2"/>
      <x:c r="H21" s="2"/>
      <x:c r="I21" s="2"/>
      <x:c r="J21" s="2"/>
    </x:row>
    <x:row r="22" ht="40" customHeight="1">
      <x:c r="A22" s="26" t="str">
        <x:v>Ajuste al entorno institucional</x:v>
      </x:c>
      <x:c r="B22" s="57" t="n">
        <x:v>0.2</x:v>
      </x:c>
      <x:c r="C22" s="57" t="n">
        <x:v>0.2</x:v>
      </x:c>
      <x:c r="D22" s="2"/>
      <x:c r="E22" s="2"/>
      <x:c r="F22" s="2"/>
      <x:c r="G22" s="2"/>
      <x:c r="H22" s="2"/>
      <x:c r="I22" s="2"/>
      <x:c r="J22" s="2"/>
    </x:row>
    <x:row r="23" ht="40" customHeight="1">
      <x:c r="A23" s="26" t="str">
        <x:v>Mantenibilidad operativa</x:v>
      </x:c>
      <x:c r="B23" s="57" t="n">
        <x:v>0.2</x:v>
      </x:c>
      <x:c r="C23" s="57" t="n">
        <x:v>0.35</x:v>
      </x:c>
      <x:c r="D23" s="2"/>
      <x:c r="E23" s="2"/>
      <x:c r="F23" s="2"/>
      <x:c r="G23" s="2"/>
      <x:c r="H23" s="2"/>
      <x:c r="I23" s="2"/>
      <x:c r="J23" s="2"/>
    </x:row>
    <x:row r="24">
      <x:c r="A24" s="2" t="str">
        <x:v>Comprobación</x:v>
      </x:c>
      <x:c r="B24" s="58" t="n">
        <x:f>SUM(B20:B23)</x:f>
        <x:v>1</x:v>
      </x:c>
      <x:c r="C24" s="58" t="n">
        <x:f>SUM(C20:C23)</x:f>
        <x:v>1</x:v>
      </x:c>
      <x:c r="D24" s="2"/>
      <x:c r="E24" s="2"/>
      <x:c r="F24" s="2"/>
      <x:c r="G24" s="2"/>
      <x:c r="H24" s="2"/>
      <x:c r="I24" s="2"/>
      <x:c r="J24" s="2"/>
    </x:row>
    <x:row r="25">
      <x:c r="A25" s="18" t="str">
        <x:v>Alternativa</x:v>
      </x:c>
      <x:c r="B25" s="18" t="str">
        <x:v>Total base</x:v>
      </x:c>
      <x:c r="C25" s="18" t="str">
        <x:v>Total sensibilidad</x:v>
      </x:c>
      <x:c r="D25" s="18" t="str">
        <x:v>Lectura</x:v>
      </x:c>
      <x:c r="E25" s="2"/>
      <x:c r="F25" s="2"/>
      <x:c r="G25" s="2"/>
      <x:c r="H25" s="2"/>
      <x:c r="I25" s="2"/>
      <x:c r="J25" s="2"/>
    </x:row>
    <x:row r="26">
      <x:c r="A26" s="26" t="str">
        <x:v>A · Fórmulas Excel ejecutadas manualmente</x:v>
      </x:c>
      <x:c r="B26" s="27" t="n">
        <x:f>J14</x:f>
        <x:v>3.25</x:v>
      </x:c>
      <x:c r="C26" s="27" t="n">
        <x:f>B14*$C$20+D14*$C$21+F14*$C$22+H14*$C$23</x:f>
        <x:v>3.5</x:v>
      </x:c>
      <x:c r="D26" s="26" t="str">
        <x:v>No seleccionada</x:v>
      </x:c>
      <x:c r="E26" s="2"/>
      <x:c r="F26" s="2"/>
      <x:c r="G26" s="2"/>
      <x:c r="H26" s="2"/>
      <x:c r="I26" s="2"/>
      <x:c r="J26" s="2"/>
    </x:row>
    <x:row r="27">
      <x:c r="A27" s="28" t="str">
        <x:v>B · Power Automate + listas SharePoint</x:v>
      </x:c>
      <x:c r="B27" s="68" t="n">
        <x:f>J15</x:f>
        <x:v>4.8</x:v>
      </x:c>
      <x:c r="C27" s="68" t="n">
        <x:f>B15*$C$20+D15*$C$21+F15*$C$22+H15*$C$23</x:f>
        <x:v>4.65</x:v>
      </x:c>
      <x:c r="D27" s="28" t="str">
        <x:v>Seleccionada</x:v>
      </x:c>
      <x:c r="E27" s="2"/>
      <x:c r="F27" s="2"/>
      <x:c r="G27" s="2"/>
      <x:c r="H27" s="2"/>
      <x:c r="I27" s="2"/>
      <x:c r="J27" s="2"/>
    </x:row>
    <x:row r="28">
      <x:c r="A28" s="26" t="str">
        <x:v>C · Power Query con plantilla controlada</x:v>
      </x:c>
      <x:c r="B28" s="27" t="n">
        <x:f>J16</x:f>
        <x:v>4</x:v>
      </x:c>
      <x:c r="C28" s="27" t="n">
        <x:f>B16*$C$20+D16*$C$21+F16*$C$22+H16*$C$23</x:f>
        <x:v>3.8499999999999996</x:v>
      </x:c>
      <x:c r="D28" s="26" t="str">
        <x:v>No seleccionada</x:v>
      </x:c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4" customHeight="1">
      <x:c r="A30" s="32" t="str">
        <x:v>Decisión, trade-off y reevaluación</x:v>
      </x:c>
      <x:c r="B30" s="32"/>
      <x:c r="C30" s="32"/>
      <x:c r="D30" s="32"/>
      <x:c r="E30" s="32"/>
      <x:c r="F30" s="32"/>
      <x:c r="G30" s="32"/>
      <x:c r="H30" s="32"/>
      <x:c r="I30" s="32"/>
      <x:c r="J30" s="32"/>
    </x:row>
    <x:row r="31" ht="30" customHeight="1">
      <x:c r="A31" s="76" t="str">
        <x:v>Decisión: opción B. Trade-off aceptado: configurar y documentar el flujo a cambio de eliminar la revisión fila a fila y conservar evidencia de cada ciclo. A queda como contingencia operativa; C se descarta como objetivo porque todavía exige ejecución manual y manejo de archivos.</x:v>
      </x:c>
      <x:c r="B31" s="77"/>
      <x:c r="C31" s="77"/>
      <x:c r="D31" s="77"/>
      <x:c r="E31" s="77"/>
      <x:c r="F31" s="77"/>
      <x:c r="G31" s="77"/>
      <x:c r="H31" s="77"/>
      <x:c r="I31" s="77"/>
      <x:c r="J31" s="78"/>
    </x:row>
    <x:row r="32" ht="30" customHeight="1">
      <x:c r="A32" s="79"/>
      <x:c r="B32" s="80"/>
      <x:c r="C32" s="80"/>
      <x:c r="D32" s="80"/>
      <x:c r="E32" s="80"/>
      <x:c r="F32" s="80"/>
      <x:c r="G32" s="80"/>
      <x:c r="H32" s="80"/>
      <x:c r="I32" s="80"/>
      <x:c r="J32" s="81"/>
    </x:row>
    <x:row r="33" ht="30" customHeight="1">
      <x:c r="A33" s="88" t="str">
        <x:v>Reevaluar si cambia el formato de la nómina, si aparecen falsos positivos repetidos o si la unidad no puede mantener la tabla de correspondencia organizacional.</x:v>
      </x:c>
      <x:c r="B33" s="89"/>
      <x:c r="C33" s="89"/>
      <x:c r="D33" s="89"/>
      <x:c r="E33" s="89"/>
      <x:c r="F33" s="89"/>
      <x:c r="G33" s="89"/>
      <x:c r="H33" s="89"/>
      <x:c r="I33" s="89"/>
      <x:c r="J33" s="90"/>
    </x:row>
    <x:row r="34" ht="30" customHeight="1">
      <x:c r="A34" s="91"/>
      <x:c r="B34" s="92"/>
      <x:c r="C34" s="92"/>
      <x:c r="D34" s="92"/>
      <x:c r="E34" s="92"/>
      <x:c r="F34" s="92"/>
      <x:c r="G34" s="92"/>
      <x:c r="H34" s="92"/>
      <x:c r="I34" s="92"/>
      <x:c r="J34" s="93"/>
    </x:row>
  </x:sheetData>
  <x:mergeCells>
    <x:mergeCell ref="A1:J2"/>
    <x:mergeCell ref="A3:J3"/>
    <x:mergeCell ref="A5:J5"/>
    <x:mergeCell ref="A12:J12"/>
    <x:mergeCell ref="A18:J18"/>
    <x:mergeCell ref="A30:J30"/>
    <x:mergeCell ref="A31:J32"/>
    <x:mergeCell ref="A33:J34"/>
  </x:mergeCells>
  <x:conditionalFormatting sqref="B14:B16">
    <x:cfRule type="cellIs" dxfId="14" priority="1" operator="greaterThanOrEqual">
      <x:formula>4</x:formula>
    </x:cfRule>
    <x:cfRule type="cellIs" dxfId="15" priority="2" operator="equal">
      <x:formula>3</x:formula>
    </x:cfRule>
    <x:cfRule type="cellIs" dxfId="16" priority="3" operator="lessThanOrEqual">
      <x:formula>2</x:formula>
    </x:cfRule>
  </x:conditionalFormatting>
  <x:conditionalFormatting sqref="D14:D16">
    <x:cfRule type="cellIs" dxfId="17" priority="4" operator="greaterThanOrEqual">
      <x:formula>4</x:formula>
    </x:cfRule>
    <x:cfRule type="cellIs" dxfId="18" priority="5" operator="equal">
      <x:formula>3</x:formula>
    </x:cfRule>
    <x:cfRule type="cellIs" dxfId="19" priority="6" operator="lessThanOrEqual">
      <x:formula>2</x:formula>
    </x:cfRule>
  </x:conditionalFormatting>
  <x:conditionalFormatting sqref="F14:F16">
    <x:cfRule type="cellIs" dxfId="20" priority="7" operator="greaterThanOrEqual">
      <x:formula>4</x:formula>
    </x:cfRule>
    <x:cfRule type="cellIs" dxfId="21" priority="8" operator="equal">
      <x:formula>3</x:formula>
    </x:cfRule>
    <x:cfRule type="cellIs" dxfId="22" priority="9" operator="lessThanOrEqual">
      <x:formula>2</x:formula>
    </x:cfRule>
  </x:conditionalFormatting>
  <x:conditionalFormatting sqref="H14:H16">
    <x:cfRule type="cellIs" dxfId="23" priority="10" operator="greaterThanOrEqual">
      <x:formula>4</x:formula>
    </x:cfRule>
    <x:cfRule type="cellIs" dxfId="24" priority="11" operator="equal">
      <x:formula>3</x:formula>
    </x:cfRule>
    <x:cfRule type="cellIs" dxfId="25" priority="12" operator="lessThanOrEqual">
      <x:formula>2</x:formula>
    </x:cfRule>
  </x:conditionalFormatting>
  <x:dataValidations count="4">
    <x:dataValidation type="whole" operator="between" sqref="B14:B16">
      <x:formula1>1</x:formula1>
      <x:formula2>5</x:formula2>
    </x:dataValidation>
    <x:dataValidation type="whole" operator="between" sqref="D14:D16">
      <x:formula1>1</x:formula1>
      <x:formula2>5</x:formula2>
    </x:dataValidation>
    <x:dataValidation type="whole" operator="between" sqref="F14:F16">
      <x:formula1>1</x:formula1>
      <x:formula2>5</x:formula2>
    </x:dataValidation>
    <x:dataValidation type="whole" operator="between" sqref="H14:H16">
      <x:formula1>1</x:formula1>
      <x:formula2>5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88A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34" hidden="0" customWidth="1"/>
    <x:col min="4" max="4" width="12" hidden="0" customWidth="1"/>
    <x:col min="5" max="5" width="34" hidden="0" customWidth="1"/>
    <x:col min="6" max="6" width="12" hidden="0" customWidth="1"/>
    <x:col min="7" max="7" width="34" hidden="0" customWidth="1"/>
    <x:col min="8" max="8" width="12" hidden="0" customWidth="1"/>
    <x:col min="9" max="9" width="34" hidden="0" customWidth="1"/>
    <x:col min="10" max="10" width="13" hidden="0" customWidth="1"/>
  </x:cols>
  <x:sheetData>
    <x:row r="1" ht="28" customHeight="1">
      <x:c r="A1" s="4" t="str">
        <x:v>Decisión 3 · Solicitud y confirmación de aprovisionamiento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34" customHeight="1">
      <x:c r="A3" s="7" t="str">
        <x:v>Impacto: las solicitudes por conversación no tienen estado, responsable ni confirmación; los registros pueden quedar indefinidamente pendientes.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32" t="str">
        <x:v>Criterios y escalas</x:v>
      </x:c>
      <x:c r="B5" s="32"/>
      <x:c r="C5" s="32"/>
      <x:c r="D5" s="32"/>
      <x:c r="E5" s="32"/>
      <x:c r="F5" s="32"/>
      <x:c r="G5" s="32"/>
      <x:c r="H5" s="32"/>
      <x:c r="I5" s="32"/>
      <x:c r="J5" s="32"/>
    </x:row>
    <x:row r="6">
      <x:c r="A6" s="18" t="str">
        <x:v>Criterio</x:v>
      </x:c>
      <x:c r="B6" s="18" t="str">
        <x:v>Peso base</x:v>
      </x:c>
      <x:c r="C6" s="18" t="str">
        <x:v>Puntaje 5</x:v>
      </x:c>
      <x:c r="D6" s="18" t="str">
        <x:v>Puntaje 1</x:v>
      </x:c>
      <x:c r="E6" s="18" t="str">
        <x:v>Regla / observación</x:v>
      </x:c>
      <x:c r="F6" s="2"/>
      <x:c r="G6" s="2"/>
      <x:c r="H6" s="2"/>
      <x:c r="I6" s="2"/>
      <x:c r="J6" s="2"/>
    </x:row>
    <x:row r="7" ht="54" customHeight="1">
      <x:c r="A7" s="26" t="str">
        <x:v>Trazabilidad y cierre</x:v>
      </x:c>
      <x:c r="B7" s="57" t="n">
        <x:v>0.35</x:v>
      </x:c>
      <x:c r="C7" s="26" t="str">
        <x:v>Estado, autor, responsable y evidencia completos.</x:v>
      </x:c>
      <x:c r="D7" s="26" t="str">
        <x:v>Conversación sin caso estructurado.</x:v>
      </x:c>
      <x:c r="E7" s="26" t="str">
        <x:v>Eliminatorio: puntaje mínimo 3.</x:v>
      </x:c>
      <x:c r="F7" s="2"/>
      <x:c r="G7" s="2"/>
      <x:c r="H7" s="2"/>
      <x:c r="I7" s="2"/>
      <x:c r="J7" s="2"/>
    </x:row>
    <x:row r="8" ht="54" customHeight="1">
      <x:c r="A8" s="26" t="str">
        <x:v>Ajuste al entorno institucional</x:v>
      </x:c>
      <x:c r="B8" s="57" t="n">
        <x:v>0.25</x:v>
      </x:c>
      <x:c r="C8" s="26" t="str">
        <x:v>Solo Microsoft 365 existente.</x:v>
      </x:c>
      <x:c r="D8" s="26" t="str">
        <x:v>Plataforma externa.</x:v>
      </x:c>
      <x:c r="E8" s="26" t="str">
        <x:v>El software externo no es admisible.</x:v>
      </x:c>
      <x:c r="F8" s="2"/>
      <x:c r="G8" s="2"/>
      <x:c r="H8" s="2"/>
      <x:c r="I8" s="2"/>
      <x:c r="J8" s="2"/>
    </x:row>
    <x:row r="9" ht="54" customHeight="1">
      <x:c r="A9" s="26" t="str">
        <x:v>Usabilidad interáreas</x:v>
      </x:c>
      <x:c r="B9" s="57" t="n">
        <x:v>0.2</x:v>
      </x:c>
      <x:c r="C9" s="26" t="str">
        <x:v>Interacción breve desde el canal habitual.</x:v>
      </x:c>
      <x:c r="D9" s="26" t="str">
        <x:v>Flujo complejo o duplicado.</x:v>
      </x:c>
      <x:c r="E9" s="26" t="str">
        <x:v>Tecnología debe poder confirmar.</x:v>
      </x:c>
      <x:c r="F9" s="2"/>
      <x:c r="G9" s="2"/>
      <x:c r="H9" s="2"/>
      <x:c r="I9" s="2"/>
      <x:c r="J9" s="2"/>
    </x:row>
    <x:row r="10" ht="54" customHeight="1">
      <x:c r="A10" s="26" t="str">
        <x:v>Mantenibilidad</x:v>
      </x:c>
      <x:c r="B10" s="57" t="n">
        <x:v>0.2</x:v>
      </x:c>
      <x:c r="C10" s="26" t="str">
        <x:v>Estados y reglas fáciles de administrar.</x:v>
      </x:c>
      <x:c r="D10" s="26" t="str">
        <x:v>Dependencia especializada permanente.</x:v>
      </x:c>
      <x:c r="E10" s="26" t="str">
        <x:v>Debe sobrevivir al cambio de responsables.</x:v>
      </x:c>
      <x:c r="F10" s="2"/>
      <x:c r="G10" s="2"/>
      <x:c r="H10" s="2"/>
      <x:c r="I10" s="2"/>
      <x:c r="J10" s="2"/>
    </x:row>
    <x:row r="11">
      <x:c r="A11" s="62" t="str">
        <x:v>Comprobación de pesos</x:v>
      </x:c>
      <x:c r="B11" s="63" t="n">
        <x:f>SUM(B7:B10)</x:f>
        <x:v>1</x:v>
      </x:c>
      <x:c r="C11" s="2"/>
      <x:c r="D11" s="2"/>
      <x:c r="E11" s="2"/>
      <x:c r="F11" s="2"/>
      <x:c r="G11" s="2"/>
      <x:c r="H11" s="2"/>
      <x:c r="I11" s="2"/>
      <x:c r="J11" s="2"/>
    </x:row>
    <x:row r="12" ht="24" customHeight="1">
      <x:c r="A12" s="32" t="str">
        <x:v>Evaluación de alternativas</x:v>
      </x:c>
      <x:c r="B12" s="32"/>
      <x:c r="C12" s="32"/>
      <x:c r="D12" s="32"/>
      <x:c r="E12" s="32"/>
      <x:c r="F12" s="32"/>
      <x:c r="G12" s="32"/>
      <x:c r="H12" s="32"/>
      <x:c r="I12" s="32"/>
      <x:c r="J12" s="32"/>
    </x:row>
    <x:row r="13">
      <x:c r="A13" s="18" t="str">
        <x:v>Alternativa</x:v>
      </x:c>
      <x:c r="B13" s="18" t="str">
        <x:v>Trazabilidad</x:v>
      </x:c>
      <x:c r="C13" s="18" t="str">
        <x:v>Justificación</x:v>
      </x:c>
      <x:c r="D13" s="18" t="str">
        <x:v>Ajuste</x:v>
      </x:c>
      <x:c r="E13" s="18" t="str">
        <x:v>Justificación</x:v>
      </x:c>
      <x:c r="F13" s="18" t="str">
        <x:v>Usabilidad</x:v>
      </x:c>
      <x:c r="G13" s="18" t="str">
        <x:v>Justificación</x:v>
      </x:c>
      <x:c r="H13" s="18" t="str">
        <x:v>Mantenimiento</x:v>
      </x:c>
      <x:c r="I13" s="18" t="str">
        <x:v>Justificación</x:v>
      </x:c>
      <x:c r="J13" s="18" t="str">
        <x:v>Total base</x:v>
      </x:c>
    </x:row>
    <x:row r="14" ht="76" customHeight="1">
      <x:c r="A14" s="26" t="str">
        <x:v>A · Teams + checklist de proceso</x:v>
      </x:c>
      <x:c r="B14" s="64" t="n">
        <x:v>2</x:v>
      </x:c>
      <x:c r="C14" s="26" t="str">
        <x:v>Mejora disciplina, pero la evidencia sigue dispersa.</x:v>
      </x:c>
      <x:c r="D14" s="64" t="n">
        <x:v>5</x:v>
      </x:c>
      <x:c r="E14" s="26" t="str">
        <x:v>Usa Teams institucional.</x:v>
      </x:c>
      <x:c r="F14" s="64" t="n">
        <x:v>4</x:v>
      </x:c>
      <x:c r="G14" s="26" t="str">
        <x:v>Es el canal habitual.</x:v>
      </x:c>
      <x:c r="H14" s="64" t="n">
        <x:v>4</x:v>
      </x:c>
      <x:c r="I14" s="26" t="str">
        <x:v>Procedimiento simple.</x:v>
      </x:c>
      <x:c r="J14" s="67" t="n">
        <x:f>B14*$B$7+D14*$B$8+F14*$B$9+H14*$B$10</x:f>
        <x:v>3.55</x:v>
      </x:c>
    </x:row>
    <x:row r="15" ht="76" customHeight="1">
      <x:c r="A15" s="26" t="str">
        <x:v>B · Lista + Power Automate + Teams</x:v>
      </x:c>
      <x:c r="B15" s="64" t="n">
        <x:v>5</x:v>
      </x:c>
      <x:c r="C15" s="26" t="str">
        <x:v>Caso, estados, responsable y evidencia en una fuente.</x:v>
      </x:c>
      <x:c r="D15" s="64" t="n">
        <x:v>5</x:v>
      </x:c>
      <x:c r="E15" s="26" t="str">
        <x:v>Solo SharePoint, Power Automate y Teams.</x:v>
      </x:c>
      <x:c r="F15" s="64" t="n">
        <x:v>4</x:v>
      </x:c>
      <x:c r="G15" s="26" t="str">
        <x:v>Notifica en Teams y actualiza en la lista.</x:v>
      </x:c>
      <x:c r="H15" s="64" t="n">
        <x:v>4</x:v>
      </x:c>
      <x:c r="I15" s="26" t="str">
        <x:v>Estados configurables y copropiedad institucional.</x:v>
      </x:c>
      <x:c r="J15" s="67" t="n">
        <x:f>B15*$B$7+D15*$B$8+F15*$B$9+H15*$B$10</x:f>
        <x:v>4.6</x:v>
      </x:c>
    </x:row>
    <x:row r="16" ht="76" customHeight="1">
      <x:c r="A16" s="26" t="str">
        <x:v>C · Forms + buzón de correo</x:v>
      </x:c>
      <x:c r="B16" s="64" t="n">
        <x:v>3</x:v>
      </x:c>
      <x:c r="C16" s="26" t="str">
        <x:v>Radica la entrada, pero el cierre queda menos integrado.</x:v>
      </x:c>
      <x:c r="D16" s="64" t="n">
        <x:v>5</x:v>
      </x:c>
      <x:c r="E16" s="26" t="str">
        <x:v>Usa Microsoft 365.</x:v>
      </x:c>
      <x:c r="F16" s="64" t="n">
        <x:v>4</x:v>
      </x:c>
      <x:c r="G16" s="26" t="str">
        <x:v>Formulario simple para solicitar.</x:v>
      </x:c>
      <x:c r="H16" s="64" t="n">
        <x:v>3</x:v>
      </x:c>
      <x:c r="I16" s="26" t="str">
        <x:v>Requiere coordinar formulario, correo y directorio.</x:v>
      </x:c>
      <x:c r="J16" s="67" t="n">
        <x:f>B16*$B$7+D16*$B$8+F16*$B$9+H16*$B$10</x:f>
        <x:v>3.6999999999999997</x:v>
      </x:c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4" customHeight="1">
      <x:c r="A18" s="32" t="str">
        <x:v>Análisis de sensibilidad</x:v>
      </x:c>
      <x:c r="B18" s="32"/>
      <x:c r="C18" s="32"/>
      <x:c r="D18" s="32"/>
      <x:c r="E18" s="32"/>
      <x:c r="F18" s="32"/>
      <x:c r="G18" s="32"/>
      <x:c r="H18" s="32"/>
      <x:c r="I18" s="32"/>
      <x:c r="J18" s="32"/>
    </x:row>
    <x:row r="19">
      <x:c r="A19" s="18" t="str">
        <x:v>Criterio</x:v>
      </x:c>
      <x:c r="B19" s="18" t="str">
        <x:v>Peso base</x:v>
      </x:c>
      <x:c r="C19" s="18" t="str">
        <x:v>Peso sensibilidad</x:v>
      </x:c>
      <x:c r="D19" s="2"/>
      <x:c r="E19" s="2"/>
      <x:c r="F19" s="2"/>
      <x:c r="G19" s="2"/>
      <x:c r="H19" s="2"/>
      <x:c r="I19" s="2"/>
      <x:c r="J19" s="2"/>
    </x:row>
    <x:row r="20" ht="40" customHeight="1">
      <x:c r="A20" s="26" t="str">
        <x:v>Trazabilidad y cierre</x:v>
      </x:c>
      <x:c r="B20" s="57" t="n">
        <x:v>0.35</x:v>
      </x:c>
      <x:c r="C20" s="57" t="n">
        <x:v>0.25</x:v>
      </x:c>
      <x:c r="D20" s="2"/>
      <x:c r="E20" s="2"/>
      <x:c r="F20" s="2"/>
      <x:c r="G20" s="2"/>
      <x:c r="H20" s="2"/>
      <x:c r="I20" s="2"/>
      <x:c r="J20" s="2"/>
    </x:row>
    <x:row r="21" ht="40" customHeight="1">
      <x:c r="A21" s="26" t="str">
        <x:v>Ajuste al entorno institucional</x:v>
      </x:c>
      <x:c r="B21" s="57" t="n">
        <x:v>0.25</x:v>
      </x:c>
      <x:c r="C21" s="57" t="n">
        <x:v>0.25</x:v>
      </x:c>
      <x:c r="D21" s="2"/>
      <x:c r="E21" s="2"/>
      <x:c r="F21" s="2"/>
      <x:c r="G21" s="2"/>
      <x:c r="H21" s="2"/>
      <x:c r="I21" s="2"/>
      <x:c r="J21" s="2"/>
    </x:row>
    <x:row r="22" ht="40" customHeight="1">
      <x:c r="A22" s="26" t="str">
        <x:v>Usabilidad interáreas</x:v>
      </x:c>
      <x:c r="B22" s="57" t="n">
        <x:v>0.2</x:v>
      </x:c>
      <x:c r="C22" s="57" t="n">
        <x:v>0.25</x:v>
      </x:c>
      <x:c r="D22" s="2"/>
      <x:c r="E22" s="2"/>
      <x:c r="F22" s="2"/>
      <x:c r="G22" s="2"/>
      <x:c r="H22" s="2"/>
      <x:c r="I22" s="2"/>
      <x:c r="J22" s="2"/>
    </x:row>
    <x:row r="23" ht="40" customHeight="1">
      <x:c r="A23" s="26" t="str">
        <x:v>Mantenibilidad</x:v>
      </x:c>
      <x:c r="B23" s="57" t="n">
        <x:v>0.2</x:v>
      </x:c>
      <x:c r="C23" s="57" t="n">
        <x:v>0.25</x:v>
      </x:c>
      <x:c r="D23" s="2"/>
      <x:c r="E23" s="2"/>
      <x:c r="F23" s="2"/>
      <x:c r="G23" s="2"/>
      <x:c r="H23" s="2"/>
      <x:c r="I23" s="2"/>
      <x:c r="J23" s="2"/>
    </x:row>
    <x:row r="24">
      <x:c r="A24" s="2" t="str">
        <x:v>Comprobación</x:v>
      </x:c>
      <x:c r="B24" s="58" t="n">
        <x:f>SUM(B20:B23)</x:f>
        <x:v>1</x:v>
      </x:c>
      <x:c r="C24" s="58" t="n">
        <x:f>SUM(C20:C23)</x:f>
        <x:v>1</x:v>
      </x:c>
      <x:c r="D24" s="2"/>
      <x:c r="E24" s="2"/>
      <x:c r="F24" s="2"/>
      <x:c r="G24" s="2"/>
      <x:c r="H24" s="2"/>
      <x:c r="I24" s="2"/>
      <x:c r="J24" s="2"/>
    </x:row>
    <x:row r="25">
      <x:c r="A25" s="18" t="str">
        <x:v>Alternativa</x:v>
      </x:c>
      <x:c r="B25" s="18" t="str">
        <x:v>Total base</x:v>
      </x:c>
      <x:c r="C25" s="18" t="str">
        <x:v>Total sensibilidad</x:v>
      </x:c>
      <x:c r="D25" s="18" t="str">
        <x:v>Lectura</x:v>
      </x:c>
      <x:c r="E25" s="2"/>
      <x:c r="F25" s="2"/>
      <x:c r="G25" s="2"/>
      <x:c r="H25" s="2"/>
      <x:c r="I25" s="2"/>
      <x:c r="J25" s="2"/>
    </x:row>
    <x:row r="26">
      <x:c r="A26" s="26" t="str">
        <x:v>A · Teams + checklist de proceso</x:v>
      </x:c>
      <x:c r="B26" s="27" t="n">
        <x:f>J14</x:f>
        <x:v>3.55</x:v>
      </x:c>
      <x:c r="C26" s="27" t="n">
        <x:f>B14*$C$20+D14*$C$21+F14*$C$22+H14*$C$23</x:f>
        <x:v>3.75</x:v>
      </x:c>
      <x:c r="D26" s="26" t="str">
        <x:v>No seleccionada</x:v>
      </x:c>
      <x:c r="E26" s="2"/>
      <x:c r="F26" s="2"/>
      <x:c r="G26" s="2"/>
      <x:c r="H26" s="2"/>
      <x:c r="I26" s="2"/>
      <x:c r="J26" s="2"/>
    </x:row>
    <x:row r="27">
      <x:c r="A27" s="28" t="str">
        <x:v>B · Lista + Power Automate + Teams</x:v>
      </x:c>
      <x:c r="B27" s="68" t="n">
        <x:f>J15</x:f>
        <x:v>4.6</x:v>
      </x:c>
      <x:c r="C27" s="68" t="n">
        <x:f>B15*$C$20+D15*$C$21+F15*$C$22+H15*$C$23</x:f>
        <x:v>4.5</x:v>
      </x:c>
      <x:c r="D27" s="28" t="str">
        <x:v>Seleccionada</x:v>
      </x:c>
      <x:c r="E27" s="2"/>
      <x:c r="F27" s="2"/>
      <x:c r="G27" s="2"/>
      <x:c r="H27" s="2"/>
      <x:c r="I27" s="2"/>
      <x:c r="J27" s="2"/>
    </x:row>
    <x:row r="28">
      <x:c r="A28" s="26" t="str">
        <x:v>C · Forms + buzón de correo</x:v>
      </x:c>
      <x:c r="B28" s="27" t="n">
        <x:f>J16</x:f>
        <x:v>3.6999999999999997</x:v>
      </x:c>
      <x:c r="C28" s="27" t="n">
        <x:f>B16*$C$20+D16*$C$21+F16*$C$22+H16*$C$23</x:f>
        <x:v>3.75</x:v>
      </x:c>
      <x:c r="D28" s="26" t="str">
        <x:v>No seleccionada</x:v>
      </x:c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4" customHeight="1">
      <x:c r="A30" s="32" t="str">
        <x:v>Decisión, trade-off y reevaluación</x:v>
      </x:c>
      <x:c r="B30" s="32"/>
      <x:c r="C30" s="32"/>
      <x:c r="D30" s="32"/>
      <x:c r="E30" s="32"/>
      <x:c r="F30" s="32"/>
      <x:c r="G30" s="32"/>
      <x:c r="H30" s="32"/>
      <x:c r="I30" s="32"/>
      <x:c r="J30" s="32"/>
    </x:row>
    <x:row r="31" ht="30" customHeight="1">
      <x:c r="A31" s="76" t="str">
        <x:v>Decisión: opción B. Trade-off aceptado: mantener la operación técnica de la PBX fuera del flujo y exigir una confirmación estructurada antes de cerrar. A falla el umbral de trazabilidad; C fragmenta el ciclo entre formulario, correo y directorio.</x:v>
      </x:c>
      <x:c r="B31" s="77"/>
      <x:c r="C31" s="77"/>
      <x:c r="D31" s="77"/>
      <x:c r="E31" s="77"/>
      <x:c r="F31" s="77"/>
      <x:c r="G31" s="77"/>
      <x:c r="H31" s="77"/>
      <x:c r="I31" s="77"/>
      <x:c r="J31" s="78"/>
    </x:row>
    <x:row r="32" ht="30" customHeight="1">
      <x:c r="A32" s="79"/>
      <x:c r="B32" s="80"/>
      <x:c r="C32" s="80"/>
      <x:c r="D32" s="80"/>
      <x:c r="E32" s="80"/>
      <x:c r="F32" s="80"/>
      <x:c r="G32" s="80"/>
      <x:c r="H32" s="80"/>
      <x:c r="I32" s="80"/>
      <x:c r="J32" s="81"/>
    </x:row>
    <x:row r="33" ht="30" customHeight="1">
      <x:c r="A33" s="88" t="str">
        <x:v>Reevaluar si Tecnología cambia su procedimiento, si las solicitudes se duplican o si existen pendientes sin movimiento pese a las alertas; ajustar estados y reglas antes de añadir otra herramienta.</x:v>
      </x:c>
      <x:c r="B33" s="89"/>
      <x:c r="C33" s="89"/>
      <x:c r="D33" s="89"/>
      <x:c r="E33" s="89"/>
      <x:c r="F33" s="89"/>
      <x:c r="G33" s="89"/>
      <x:c r="H33" s="89"/>
      <x:c r="I33" s="89"/>
      <x:c r="J33" s="90"/>
    </x:row>
    <x:row r="34" ht="30" customHeight="1">
      <x:c r="A34" s="91"/>
      <x:c r="B34" s="92"/>
      <x:c r="C34" s="92"/>
      <x:c r="D34" s="92"/>
      <x:c r="E34" s="92"/>
      <x:c r="F34" s="92"/>
      <x:c r="G34" s="92"/>
      <x:c r="H34" s="92"/>
      <x:c r="I34" s="92"/>
      <x:c r="J34" s="93"/>
    </x:row>
  </x:sheetData>
  <x:mergeCells>
    <x:mergeCell ref="A1:J2"/>
    <x:mergeCell ref="A3:J3"/>
    <x:mergeCell ref="A5:J5"/>
    <x:mergeCell ref="A12:J12"/>
    <x:mergeCell ref="A18:J18"/>
    <x:mergeCell ref="A30:J30"/>
    <x:mergeCell ref="A31:J32"/>
    <x:mergeCell ref="A33:J34"/>
  </x:mergeCells>
  <x:conditionalFormatting sqref="B14:B16">
    <x:cfRule type="cellIs" dxfId="26" priority="1" operator="greaterThanOrEqual">
      <x:formula>4</x:formula>
    </x:cfRule>
    <x:cfRule type="cellIs" dxfId="27" priority="2" operator="equal">
      <x:formula>3</x:formula>
    </x:cfRule>
    <x:cfRule type="cellIs" dxfId="28" priority="3" operator="lessThanOrEqual">
      <x:formula>2</x:formula>
    </x:cfRule>
  </x:conditionalFormatting>
  <x:conditionalFormatting sqref="D14:D16">
    <x:cfRule type="cellIs" dxfId="29" priority="4" operator="greaterThanOrEqual">
      <x:formula>4</x:formula>
    </x:cfRule>
    <x:cfRule type="cellIs" dxfId="30" priority="5" operator="equal">
      <x:formula>3</x:formula>
    </x:cfRule>
    <x:cfRule type="cellIs" dxfId="31" priority="6" operator="lessThanOrEqual">
      <x:formula>2</x:formula>
    </x:cfRule>
  </x:conditionalFormatting>
  <x:conditionalFormatting sqref="F14:F16">
    <x:cfRule type="cellIs" dxfId="32" priority="7" operator="greaterThanOrEqual">
      <x:formula>4</x:formula>
    </x:cfRule>
    <x:cfRule type="cellIs" dxfId="33" priority="8" operator="equal">
      <x:formula>3</x:formula>
    </x:cfRule>
    <x:cfRule type="cellIs" dxfId="34" priority="9" operator="lessThanOrEqual">
      <x:formula>2</x:formula>
    </x:cfRule>
  </x:conditionalFormatting>
  <x:conditionalFormatting sqref="H14:H16">
    <x:cfRule type="cellIs" dxfId="35" priority="10" operator="greaterThanOrEqual">
      <x:formula>4</x:formula>
    </x:cfRule>
    <x:cfRule type="cellIs" dxfId="36" priority="11" operator="equal">
      <x:formula>3</x:formula>
    </x:cfRule>
    <x:cfRule type="cellIs" dxfId="37" priority="12" operator="lessThanOrEqual">
      <x:formula>2</x:formula>
    </x:cfRule>
  </x:conditionalFormatting>
  <x:dataValidations count="4">
    <x:dataValidation type="whole" operator="between" sqref="B14:B16">
      <x:formula1>1</x:formula1>
      <x:formula2>5</x:formula2>
    </x:dataValidation>
    <x:dataValidation type="whole" operator="between" sqref="D14:D16">
      <x:formula1>1</x:formula1>
      <x:formula2>5</x:formula2>
    </x:dataValidation>
    <x:dataValidation type="whole" operator="between" sqref="F14:F16">
      <x:formula1>1</x:formula1>
      <x:formula2>5</x:formula2>
    </x:dataValidation>
    <x:dataValidation type="whole" operator="between" sqref="H14:H16">
      <x:formula1>1</x:formula1>
      <x:formula2>5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9EAF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10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4" t="str">
        <x:v>Capacidades y paquetes de trabajo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34" customHeight="1">
      <x:c r="A3" s="7" t="str">
        <x:v>Escala de madurez: 1 = ad hoc y frágil · 3 = operativo con fallas · 5 = fiable, medido y escalable</x:v>
      </x:c>
      <x:c r="B3" s="7"/>
      <x:c r="C3" s="7"/>
      <x:c r="D3" s="7"/>
      <x:c r="E3" s="7"/>
      <x:c r="F3" s="7"/>
      <x:c r="G3" s="7"/>
      <x:c r="H3" s="7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18" t="str">
        <x:v>Capacidad</x:v>
      </x:c>
      <x:c r="B5" s="18" t="str">
        <x:v>AS-IS</x:v>
      </x:c>
      <x:c r="C5" s="18" t="str">
        <x:v>TO-BE</x:v>
      </x:c>
      <x:c r="D5" s="18" t="str">
        <x:v>Cambio</x:v>
      </x:c>
      <x:c r="E5" s="18" t="str">
        <x:v>Evidencia</x:v>
      </x:c>
      <x:c r="F5" s="18" t="str">
        <x:v>Solución</x:v>
      </x:c>
      <x:c r="G5" s="18" t="str">
        <x:v>Paquete</x:v>
      </x:c>
      <x:c r="H5" s="18" t="str">
        <x:v>Criterio de salida</x:v>
      </x:c>
    </x:row>
    <x:row r="6" ht="60" customHeight="1">
      <x:c r="A6" s="26" t="str">
        <x:v>Mantener información de contacto institucional</x:v>
      </x:c>
      <x:c r="B6" s="64" t="n">
        <x:v>2</x:v>
      </x:c>
      <x:c r="C6" s="64" t="n">
        <x:v>4</x:v>
      </x:c>
      <x:c r="D6" s="64" t="n">
        <x:f>C6-B6</x:f>
        <x:v>2</x:v>
      </x:c>
      <x:c r="E6" s="26" t="str">
        <x:v>T3 D2–D3; T5 C3/C4</x:v>
      </x:c>
      <x:c r="F6" s="26" t="str">
        <x:v>S1</x:v>
      </x:c>
      <x:c r="G6" s="26" t="str">
        <x:v>WP1</x:v>
      </x:c>
      <x:c r="H6" s="26" t="str">
        <x:v>Fuente única con llave, roles y versionado</x:v>
      </x:c>
    </x:row>
    <x:row r="7" ht="60" customHeight="1">
      <x:c r="A7" s="26" t="str">
        <x:v>Conciliar novedades de personal</x:v>
      </x:c>
      <x:c r="B7" s="64" t="n">
        <x:v>1</x:v>
      </x:c>
      <x:c r="C7" s="64" t="n">
        <x:v>4</x:v>
      </x:c>
      <x:c r="D7" s="64" t="n">
        <x:f>C7-B7</x:f>
        <x:v>3</x:v>
      </x:c>
      <x:c r="E7" s="26" t="str">
        <x:v>BPMN B1; T3 D1</x:v>
      </x:c>
      <x:c r="F7" s="26" t="str">
        <x:v>S2</x:v>
      </x:c>
      <x:c r="G7" s="26" t="str">
        <x:v>WP2</x:v>
      </x:c>
      <x:c r="H7" s="26" t="str">
        <x:v>Excepciones clasificadas y evidencia por ciclo</x:v>
      </x:c>
    </x:row>
    <x:row r="8" ht="60" customHeight="1">
      <x:c r="A8" s="26" t="str">
        <x:v>Gestionar recursos de telefonía</x:v>
      </x:c>
      <x:c r="B8" s="64" t="n">
        <x:v>2</x:v>
      </x:c>
      <x:c r="C8" s="64" t="n">
        <x:v>4</x:v>
      </x:c>
      <x:c r="D8" s="64" t="n">
        <x:f>C8-B8</x:f>
        <x:v>2</x:v>
      </x:c>
      <x:c r="E8" s="26" t="str">
        <x:v>T3 D4–D6; T5 C10</x:v>
      </x:c>
      <x:c r="F8" s="26" t="str">
        <x:v>S3</x:v>
      </x:c>
      <x:c r="G8" s="26" t="str">
        <x:v>WP3</x:v>
      </x:c>
      <x:c r="H8" s="26" t="str">
        <x:v>Solicitud con responsable, estado y cierre</x:v>
      </x:c>
    </x:row>
    <x:row r="9" ht="60" customHeight="1">
      <x:c r="A9" s="26" t="str">
        <x:v>Atender y transferir llamadas</x:v>
      </x:c>
      <x:c r="B9" s="64" t="n">
        <x:v>3</x:v>
      </x:c>
      <x:c r="C9" s="64" t="n">
        <x:v>4</x:v>
      </x:c>
      <x:c r="D9" s="64" t="n">
        <x:f>C9-B9</x:f>
        <x:v>1</x:v>
      </x:c>
      <x:c r="E9" s="26" t="str">
        <x:v>BPMN F1–F2</x:v>
      </x:c>
      <x:c r="F9" s="26" t="str">
        <x:v>S1–S3</x:v>
      </x:c>
      <x:c r="G9" s="26" t="str">
        <x:v>Transversal</x:v>
      </x:c>
      <x:c r="H9" s="26" t="str">
        <x:v>Vista vigente disponible para gestoras</x:v>
      </x:c>
    </x:row>
    <x:row r="10" ht="60" customHeight="1">
      <x:c r="A10" s="26" t="str">
        <x:v>Proteger datos operativos de personal</x:v>
      </x:c>
      <x:c r="B10" s="64" t="n">
        <x:v>2</x:v>
      </x:c>
      <x:c r="C10" s="64" t="n">
        <x:v>4</x:v>
      </x:c>
      <x:c r="D10" s="64" t="n">
        <x:f>C10-B10</x:f>
        <x:v>2</x:v>
      </x:c>
      <x:c r="E10" s="26" t="str">
        <x:v>T5 C5/C8/C9; T6</x:v>
      </x:c>
      <x:c r="F10" s="26" t="str">
        <x:v>Controles</x:v>
      </x:c>
      <x:c r="G10" s="26" t="str">
        <x:v>WP1–WP3</x:v>
      </x:c>
      <x:c r="H10" s="26" t="str">
        <x:v>Accesos, cambios y exportaciones gobernados</x:v>
      </x:c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24" customHeight="1">
      <x:c r="A12" s="32" t="str">
        <x:v>Secuencia lógica de implementación</x:v>
      </x:c>
      <x:c r="B12" s="32"/>
      <x:c r="C12" s="32"/>
      <x:c r="D12" s="32"/>
      <x:c r="E12" s="32"/>
      <x:c r="F12" s="32"/>
      <x:c r="G12" s="32"/>
      <x:c r="H12" s="32"/>
    </x:row>
    <x:row r="13">
      <x:c r="A13" s="18" t="str">
        <x:v>Orden</x:v>
      </x:c>
      <x:c r="B13" s="18" t="str">
        <x:v>Paquete</x:v>
      </x:c>
      <x:c r="C13" s="18" t="str">
        <x:v>Objetivo</x:v>
      </x:c>
      <x:c r="D13" s="18" t="str">
        <x:v>Brechas</x:v>
      </x:c>
      <x:c r="E13" s="18" t="str">
        <x:v>Dependencia</x:v>
      </x:c>
      <x:c r="F13" s="18" t="str">
        <x:v>Entrada</x:v>
      </x:c>
      <x:c r="G13" s="18" t="str">
        <x:v>Salida</x:v>
      </x:c>
      <x:c r="H13" s="18" t="str">
        <x:v>Control de calidad</x:v>
      </x:c>
    </x:row>
    <x:row r="14" ht="68" customHeight="1">
      <x:c r="A14" s="34" t="n">
        <x:v>1</x:v>
      </x:c>
      <x:c r="B14" s="26" t="str">
        <x:v>WP1 · Dato maestro y gobierno</x:v>
      </x:c>
      <x:c r="C14" s="26" t="str">
        <x:v>Institucionalizar y proteger el directorio</x:v>
      </x:c>
      <x:c r="D14" s="26" t="str">
        <x:v>G02, G06, G07, G09, G10, G12, G13</x:v>
      </x:c>
      <x:c r="E14" s="26" t="str">
        <x:v>Ninguna; es fundacional</x:v>
      </x:c>
      <x:c r="F14" s="26" t="str">
        <x:v>Directorio depurado</x:v>
      </x:c>
      <x:c r="G14" s="26" t="str">
        <x:v>Lista operativa</x:v>
      </x:c>
      <x:c r="H14" s="26" t="str">
        <x:v>Muestreo de campos, permisos e historial</x:v>
      </x:c>
    </x:row>
    <x:row r="15" ht="68" customHeight="1">
      <x:c r="A15" s="34" t="n">
        <x:v>2</x:v>
      </x:c>
      <x:c r="B15" s="26" t="str">
        <x:v>WP2 · Conciliación automatizada</x:v>
      </x:c>
      <x:c r="C15" s="26" t="str">
        <x:v>Generar novedades por excepción</x:v>
      </x:c>
      <x:c r="D15" s="26" t="str">
        <x:v>G01, G05, G08, G11, G14</x:v>
      </x:c>
      <x:c r="E15" s="26" t="str">
        <x:v>WP1</x:v>
      </x:c>
      <x:c r="F15" s="26" t="str">
        <x:v>Nómina autorizada + lista</x:v>
      </x:c>
      <x:c r="G15" s="26" t="str">
        <x:v>Novedades validadas</x:v>
      </x:c>
      <x:c r="H15" s="26" t="str">
        <x:v>Comparación contra ciclo manual de referencia</x:v>
      </x:c>
    </x:row>
    <x:row r="16" ht="68" customHeight="1">
      <x:c r="A16" s="34" t="n">
        <x:v>3</x:v>
      </x:c>
      <x:c r="B16" s="26" t="str">
        <x:v>WP3 · Aprovisionamiento trazable</x:v>
      </x:c>
      <x:c r="C16" s="26" t="str">
        <x:v>Cerrar el circuito con Tecnología</x:v>
      </x:c>
      <x:c r="D16" s="26" t="str">
        <x:v>G03, G04</x:v>
      </x:c>
      <x:c r="E16" s="26" t="str">
        <x:v>WP1; consume novedades de WP2</x:v>
      </x:c>
      <x:c r="F16" s="26" t="str">
        <x:v>Novedad validada</x:v>
      </x:c>
      <x:c r="G16" s="26" t="str">
        <x:v>Solicitud cerrada y directorio actualizado</x:v>
      </x:c>
      <x:c r="H16" s="26" t="str">
        <x:v>Prueba de alta, cambio y liberación</x:v>
      </x:c>
    </x:row>
  </x:sheetData>
  <x:mergeCells>
    <x:mergeCell ref="A1:H2"/>
    <x:mergeCell ref="A3:H3"/>
    <x:mergeCell ref="A12:H12"/>
  </x:mergeCells>
  <x:conditionalFormatting sqref="B6:D10">
    <x:cfRule type="colorScale" priority="1">
      <x:colorScale>
        <x:cfvo type="min"/>
        <x:cfvo type="percentile" val="50"/>
        <x:cfvo type="max"/>
        <x:color rgb="FFF8CECC"/>
        <x:color rgb="FFFFF2CC"/>
        <x:color rgb="FFDDF4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3a9cc48fcaa4c0b"/>
  </x:tableParts>
</x:worksheet>
</file>

<file path=xl/worksheets/sheet7.xml><?xml version="1.0" encoding="utf-8"?>
<x:worksheet xmlns:x="http://schemas.openxmlformats.org/spreadsheetml/2006/main">
  <x:sheetPr>
    <x:tabColor rgb="FF52606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43" hidden="0" customWidth="1"/>
    <x:col min="4" max="4" width="54" hidden="0" customWidth="1"/>
    <x:col min="5" max="5" width="14" hidden="0" customWidth="1"/>
  </x:cols>
  <x:sheetData>
    <x:row r="1" ht="28" customHeight="1">
      <x:c r="A1" s="4" t="str">
        <x:v>Trazabilidad de fuentes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34" customHeight="1">
      <x:c r="A3" s="7" t="str">
        <x:v>Fuentes del proyecto y documentación oficial que sustentan hallazgos, decisiones y controles.</x:v>
      </x:c>
      <x:c r="B3" s="7"/>
      <x:c r="C3" s="7"/>
      <x:c r="D3" s="7"/>
      <x:c r="E3" s="7"/>
    </x:row>
    <x:row r="4">
      <x:c r="A4" s="2"/>
      <x:c r="B4" s="2"/>
      <x:c r="C4" s="2"/>
      <x:c r="D4" s="2"/>
      <x:c r="E4" s="2"/>
    </x:row>
    <x:row r="5">
      <x:c r="A5" s="18" t="str">
        <x:v>ID</x:v>
      </x:c>
      <x:c r="B5" s="18" t="str">
        <x:v>Fuente</x:v>
      </x:c>
      <x:c r="C5" s="18" t="str">
        <x:v>Uso en el taller</x:v>
      </x:c>
      <x:c r="D5" s="18" t="str">
        <x:v>URL / ubicación</x:v>
      </x:c>
      <x:c r="E5" s="18" t="str">
        <x:v>Tipo</x:v>
      </x:c>
    </x:row>
    <x:row r="6" ht="50" customHeight="1">
      <x:c r="A6" s="26" t="str">
        <x:v>F01</x:v>
      </x:c>
      <x:c r="B6" s="26" t="str">
        <x:v>Architecture Vision y BPMN del proyecto</x:v>
      </x:c>
      <x:c r="C6" s="26" t="str">
        <x:v>Cifras, actores, alcance, restricciones y bloqueos B1–B4</x:v>
      </x:c>
      <x:c r="D6" s="26" t="str">
        <x:v>github.com/JhonlunKnox/AREM-Equipo3-Universidad-de-la-Sabana</x:v>
      </x:c>
      <x:c r="E6" s="26" t="str">
        <x:v>Primaria</x:v>
      </x:c>
    </x:row>
    <x:row r="7" ht="50" customHeight="1">
      <x:c r="A7" s="26" t="str">
        <x:v>F02</x:v>
      </x:c>
      <x:c r="B7" s="26" t="str">
        <x:v>Taller 3 · C4 AS-IS</x:v>
      </x:c>
      <x:c r="C7" s="26" t="str">
        <x:v>Aplicaciones actuales y debilidades D1–D7</x:v>
      </x:c>
      <x:c r="D7" s="26" t="str">
        <x:v>github.com/AlejandroRiveros/AREM-Taller_3_Arquitectura_C4</x:v>
      </x:c>
      <x:c r="E7" s="26" t="str">
        <x:v>Proyecto</x:v>
      </x:c>
    </x:row>
    <x:row r="8" ht="50" customHeight="1">
      <x:c r="A8" s="26" t="str">
        <x:v>F03</x:v>
      </x:c>
      <x:c r="B8" s="26" t="str">
        <x:v>Taller 5 · STRIDE</x:v>
      </x:c>
      <x:c r="C8" s="26" t="str">
        <x:v>Amenazas C1–C10 y mitigaciones</x:v>
      </x:c>
      <x:c r="D8" s="26" t="str">
        <x:v>github.com/JhonlunKnox/taller-05-seguridad-stride</x:v>
      </x:c>
      <x:c r="E8" s="26" t="str">
        <x:v>Proyecto</x:v>
      </x:c>
    </x:row>
    <x:row r="9" ht="50" customHeight="1">
      <x:c r="A9" s="26" t="str">
        <x:v>F04</x:v>
      </x:c>
      <x:c r="B9" s="26" t="str">
        <x:v>Taller 6 · Normatividad</x:v>
      </x:c>
      <x:c r="C9" s="26" t="str">
        <x:v>17 criterios y 11 brechas</x:v>
      </x:c>
      <x:c r="D9" s="26" t="str">
        <x:v>github.com/JhonlunKnox/AREM-Taller_6_Normatividad</x:v>
      </x:c>
      <x:c r="E9" s="26" t="str">
        <x:v>Proyecto</x:v>
      </x:c>
    </x:row>
    <x:row r="10" ht="50" customHeight="1">
      <x:c r="A10" s="26" t="str">
        <x:v>F05</x:v>
      </x:c>
      <x:c r="B10" s="26" t="str">
        <x:v>Taller 7 · Guía Opportunities &amp; Solutions</x:v>
      </x:c>
      <x:c r="C10" s="26" t="str">
        <x:v>Método, matrices, capacidades y paquetes</x:v>
      </x:c>
      <x:c r="D10" s="26" t="str">
        <x:v>github.com/m4rtin24/AREM-Taller_7_Opportunities_Solutions</x:v>
      </x:c>
      <x:c r="E10" s="26" t="str">
        <x:v>Curso</x:v>
      </x:c>
    </x:row>
    <x:row r="11" ht="50" customHeight="1">
      <x:c r="A11" s="26" t="str">
        <x:v>F06</x:v>
      </x:c>
      <x:c r="B11" s="26" t="str">
        <x:v>Microsoft · Introduction to Lists</x:v>
      </x:c>
      <x:c r="C11" s="26" t="str">
        <x:v>Listas, vistas, permisos e historial</x:v>
      </x:c>
      <x:c r="D11" s="26" t="str">
        <x:v>support.microsoft.com/.../introduction-to-lists</x:v>
      </x:c>
      <x:c r="E11" s="26" t="str">
        <x:v>Oficial</x:v>
      </x:c>
    </x:row>
    <x:row r="12" ht="50" customHeight="1">
      <x:c r="A12" s="26" t="str">
        <x:v>F07</x:v>
      </x:c>
      <x:c r="B12" s="26" t="str">
        <x:v>Microsoft · Versioning</x:v>
      </x:c>
      <x:c r="C12" s="26" t="str">
        <x:v>Versionado por elemento</x:v>
      </x:c>
      <x:c r="D12" s="26" t="str">
        <x:v>support.microsoft.com/.../enable-and-configure-versioning</x:v>
      </x:c>
      <x:c r="E12" s="26" t="str">
        <x:v>Oficial</x:v>
      </x:c>
    </x:row>
    <x:row r="13" ht="50" customHeight="1">
      <x:c r="A13" s="26" t="str">
        <x:v>F08</x:v>
      </x:c>
      <x:c r="B13" s="26" t="str">
        <x:v>Microsoft · SharePoint permissions</x:v>
      </x:c>
      <x:c r="C13" s="26" t="str">
        <x:v>Separación de lectura y edición</x:v>
      </x:c>
      <x:c r="D13" s="26" t="str">
        <x:v>support.microsoft.com/.../customize-permissions</x:v>
      </x:c>
      <x:c r="E13" s="26" t="str">
        <x:v>Oficial</x:v>
      </x:c>
    </x:row>
    <x:row r="14" ht="50" customHeight="1">
      <x:c r="A14" s="26" t="str">
        <x:v>F09</x:v>
      </x:c>
      <x:c r="B14" s="26" t="str">
        <x:v>Microsoft · SharePoint connector</x:v>
      </x:c>
      <x:c r="C14" s="26" t="str">
        <x:v>Disparadores y acciones Power Automate</x:v>
      </x:c>
      <x:c r="D14" s="26" t="str">
        <x:v>learn.microsoft.com/.../sharepoint-connector-actions-triggers</x:v>
      </x:c>
      <x:c r="E14" s="26" t="str">
        <x:v>Oficial</x:v>
      </x:c>
    </x:row>
    <x:row r="15" ht="50" customHeight="1">
      <x:c r="A15" s="26" t="str">
        <x:v>F10</x:v>
      </x:c>
      <x:c r="B15" s="26" t="str">
        <x:v>Microsoft · Teams + Power Automate</x:v>
      </x:c>
      <x:c r="C15" s="26" t="str">
        <x:v>Notificaciones del flujo</x:v>
      </x:c>
      <x:c r="D15" s="26" t="str">
        <x:v>learn.microsoft.com/.../send-a-message-in-teams</x:v>
      </x:c>
      <x:c r="E15" s="26" t="str">
        <x:v>Oficial</x:v>
      </x:c>
    </x:row>
    <x:row r="16" ht="50" customHeight="1">
      <x:c r="A16" s="26" t="str">
        <x:v>F11</x:v>
      </x:c>
      <x:c r="B16" s="26" t="str">
        <x:v>Ley 1581 de 2012</x:v>
      </x:c>
      <x:c r="C16" s="26" t="str">
        <x:v>Calidad, seguridad y tratamiento de datos</x:v>
      </x:c>
      <x:c r="D16" s="26" t="str">
        <x:v>funcionpublica.gov.co/eva/gestornormativo/norma.php?i=49981</x:v>
      </x:c>
      <x:c r="E16" s="26" t="str">
        <x:v>Normativa</x:v>
      </x:c>
    </x:row>
    <x:row r="17" ht="50" customHeight="1">
      <x:c r="A17" s="26" t="str">
        <x:v>F12</x:v>
      </x:c>
      <x:c r="B17" s="26" t="str">
        <x:v>ISO/IEC 27001 y 27002:2022</x:v>
      </x:c>
      <x:c r="C17" s="26" t="str">
        <x:v>Acceso, clasificación y registro</x:v>
      </x:c>
      <x:c r="D17" s="26" t="str">
        <x:v>iso.org/standard/27001</x:v>
      </x:c>
      <x:c r="E17" s="26" t="str">
        <x:v>Estándar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18f825c8275c48ef"/>
  </x:tableParts>
</x:worksheet>
</file>